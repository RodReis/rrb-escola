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0730" windowHeight="11760" tabRatio="599" activeTab="3"/>
  </bookViews>
  <sheets>
    <sheet name="DESCONTOS" sheetId="1" r:id="rId1"/>
    <sheet name="PROFESSORES" sheetId="2" r:id="rId2"/>
    <sheet name="Admin" sheetId="3" r:id="rId3"/>
    <sheet name="ENSINO MÉDIO" sheetId="4" r:id="rId4"/>
  </sheets>
  <calcPr calcId="145621"/>
</workbook>
</file>

<file path=xl/calcChain.xml><?xml version="1.0" encoding="utf-8"?>
<calcChain xmlns="http://schemas.openxmlformats.org/spreadsheetml/2006/main">
  <c r="N13" i="3" l="1"/>
  <c r="H30" i="2" l="1"/>
  <c r="H11" i="4"/>
  <c r="M11" i="4"/>
  <c r="L11" i="4"/>
  <c r="O11" i="4"/>
  <c r="G19" i="3" l="1"/>
  <c r="H8" i="4" l="1"/>
  <c r="H10" i="4"/>
  <c r="N8" i="3" l="1"/>
  <c r="N10" i="3"/>
  <c r="N12" i="3"/>
  <c r="N15" i="3"/>
  <c r="N16" i="3"/>
  <c r="N17" i="3"/>
  <c r="N18" i="3"/>
  <c r="N9" i="2"/>
  <c r="N14" i="2"/>
  <c r="N15" i="2"/>
  <c r="N17" i="2"/>
  <c r="N18" i="2"/>
  <c r="N19" i="2"/>
  <c r="N21" i="2"/>
  <c r="O17" i="2" l="1"/>
  <c r="O19" i="2"/>
  <c r="Q19" i="2" s="1"/>
  <c r="O21" i="2"/>
  <c r="Q21" i="2" s="1"/>
  <c r="L28" i="4"/>
  <c r="L27" i="4"/>
  <c r="L26" i="4"/>
  <c r="L25" i="4"/>
  <c r="L24" i="4"/>
  <c r="L23" i="4"/>
  <c r="L22" i="4"/>
  <c r="L21" i="4"/>
  <c r="L19" i="4"/>
  <c r="L18" i="4"/>
  <c r="M18" i="4" s="1"/>
  <c r="L17" i="4"/>
  <c r="L14" i="4"/>
  <c r="L10" i="4"/>
  <c r="L9" i="4"/>
  <c r="M9" i="4" s="1"/>
  <c r="M21" i="4"/>
  <c r="M19" i="4"/>
  <c r="M17" i="4"/>
  <c r="M14" i="4"/>
  <c r="M10" i="4"/>
  <c r="J16" i="2" l="1"/>
  <c r="J13" i="3" l="1"/>
  <c r="H29" i="1"/>
  <c r="H28" i="1"/>
  <c r="J9" i="3" l="1"/>
  <c r="H43" i="1" l="1"/>
  <c r="H24" i="4" l="1"/>
  <c r="H17" i="4" l="1"/>
  <c r="H27" i="4" l="1"/>
  <c r="H18" i="4" l="1"/>
  <c r="H23" i="1" l="1"/>
  <c r="N11" i="3" s="1"/>
  <c r="J14" i="3" l="1"/>
  <c r="F19" i="3" l="1"/>
  <c r="H19" i="3"/>
  <c r="K19" i="3"/>
  <c r="F29" i="4"/>
  <c r="E29" i="4"/>
  <c r="H54" i="1" l="1"/>
  <c r="H53" i="1"/>
  <c r="M27" i="4" s="1"/>
  <c r="O27" i="4" s="1"/>
  <c r="H52" i="1"/>
  <c r="M26" i="4" s="1"/>
  <c r="H51" i="1"/>
  <c r="M25" i="4" s="1"/>
  <c r="H42" i="1"/>
  <c r="L16" i="4" s="1"/>
  <c r="M16" i="4" s="1"/>
  <c r="H50" i="1"/>
  <c r="M24" i="4" s="1"/>
  <c r="O24" i="4" s="1"/>
  <c r="H38" i="1"/>
  <c r="L12" i="4" s="1"/>
  <c r="M12" i="4" s="1"/>
  <c r="H47" i="1"/>
  <c r="H40" i="1"/>
  <c r="H45" i="1"/>
  <c r="H49" i="1"/>
  <c r="H35" i="1"/>
  <c r="H20" i="4" l="1"/>
  <c r="H26" i="4"/>
  <c r="O26" i="4" s="1"/>
  <c r="H12" i="4"/>
  <c r="O12" i="4" s="1"/>
  <c r="H14" i="4"/>
  <c r="H19" i="4"/>
  <c r="H16" i="4"/>
  <c r="J16" i="3" l="1"/>
  <c r="J8" i="3" l="1"/>
  <c r="J18" i="3" l="1"/>
  <c r="H25" i="1" l="1"/>
  <c r="H19" i="1"/>
  <c r="N7" i="3" s="1"/>
  <c r="D31" i="1" l="1"/>
  <c r="H21" i="4" l="1"/>
  <c r="O21" i="4" s="1"/>
  <c r="J12" i="3" l="1"/>
  <c r="J20" i="2" l="1"/>
  <c r="H21" i="1" l="1"/>
  <c r="N9" i="3" s="1"/>
  <c r="O16" i="3" l="1"/>
  <c r="Q16" i="3" s="1"/>
  <c r="O10" i="3"/>
  <c r="H27" i="1"/>
  <c r="H13" i="4" l="1"/>
  <c r="H26" i="1" l="1"/>
  <c r="N14" i="3" s="1"/>
  <c r="H22" i="1"/>
  <c r="H30" i="1"/>
  <c r="H24" i="1"/>
  <c r="H20" i="1"/>
  <c r="J7" i="3"/>
  <c r="O8" i="3" l="1"/>
  <c r="Q8" i="3" s="1"/>
  <c r="O14" i="3"/>
  <c r="Q14" i="3" s="1"/>
  <c r="O12" i="3"/>
  <c r="Q12" i="3" s="1"/>
  <c r="O18" i="3"/>
  <c r="Q18" i="3" s="1"/>
  <c r="O7" i="3"/>
  <c r="Q7" i="3" s="1"/>
  <c r="O9" i="3"/>
  <c r="H22" i="4"/>
  <c r="Q9" i="3" l="1"/>
  <c r="H6" i="1"/>
  <c r="N10" i="2" s="1"/>
  <c r="J11" i="2"/>
  <c r="N29" i="4" l="1"/>
  <c r="K29" i="4"/>
  <c r="I29" i="4"/>
  <c r="G29" i="4"/>
  <c r="H15" i="4"/>
  <c r="H9" i="4"/>
  <c r="O9" i="4" s="1"/>
  <c r="P19" i="3"/>
  <c r="M19" i="3"/>
  <c r="I19" i="3"/>
  <c r="O11" i="3"/>
  <c r="J11" i="3"/>
  <c r="J10" i="3"/>
  <c r="J17" i="3"/>
  <c r="J15" i="3"/>
  <c r="P22" i="2"/>
  <c r="M22" i="2"/>
  <c r="K22" i="2"/>
  <c r="I22" i="2"/>
  <c r="H22" i="2"/>
  <c r="G22" i="2"/>
  <c r="F22" i="2"/>
  <c r="J8" i="2"/>
  <c r="J15" i="2"/>
  <c r="J19" i="2"/>
  <c r="J14" i="2"/>
  <c r="J13" i="2"/>
  <c r="J10" i="2"/>
  <c r="J9" i="2"/>
  <c r="J17" i="2"/>
  <c r="Q17" i="2" s="1"/>
  <c r="J12" i="2"/>
  <c r="G55" i="1"/>
  <c r="F55" i="1"/>
  <c r="E55" i="1"/>
  <c r="D55" i="1"/>
  <c r="H37" i="1"/>
  <c r="H48" i="1"/>
  <c r="H44" i="1"/>
  <c r="H34" i="1"/>
  <c r="L8" i="4" s="1"/>
  <c r="M8" i="4" s="1"/>
  <c r="O8" i="4" s="1"/>
  <c r="H46" i="1"/>
  <c r="L20" i="4" s="1"/>
  <c r="M20" i="4" s="1"/>
  <c r="H41" i="1"/>
  <c r="L15" i="4" s="1"/>
  <c r="M15" i="4" s="1"/>
  <c r="H39" i="1"/>
  <c r="L13" i="4" s="1"/>
  <c r="M13" i="4" s="1"/>
  <c r="H36" i="1"/>
  <c r="G31" i="1"/>
  <c r="F31" i="1"/>
  <c r="E31" i="1"/>
  <c r="O15" i="3"/>
  <c r="F16" i="1"/>
  <c r="E16" i="1"/>
  <c r="D16" i="1"/>
  <c r="H7" i="1"/>
  <c r="N11" i="2" s="1"/>
  <c r="H14" i="1"/>
  <c r="H15" i="1"/>
  <c r="H13" i="1"/>
  <c r="H9" i="1"/>
  <c r="N13" i="2" s="1"/>
  <c r="H8" i="1"/>
  <c r="N12" i="2" s="1"/>
  <c r="H5" i="1"/>
  <c r="H4" i="1"/>
  <c r="N8" i="2" s="1"/>
  <c r="H12" i="1"/>
  <c r="N16" i="2" s="1"/>
  <c r="H11" i="1"/>
  <c r="H10" i="1"/>
  <c r="O16" i="2" l="1"/>
  <c r="Q16" i="2" s="1"/>
  <c r="O18" i="2"/>
  <c r="Q18" i="2" s="1"/>
  <c r="O13" i="4"/>
  <c r="O19" i="4"/>
  <c r="O14" i="4"/>
  <c r="O16" i="4"/>
  <c r="O20" i="4"/>
  <c r="O17" i="4"/>
  <c r="O18" i="4"/>
  <c r="O13" i="2"/>
  <c r="Q13" i="2" s="1"/>
  <c r="O15" i="2"/>
  <c r="Q15" i="2" s="1"/>
  <c r="O14" i="2"/>
  <c r="Q14" i="2" s="1"/>
  <c r="J19" i="3"/>
  <c r="H29" i="4"/>
  <c r="O9" i="2"/>
  <c r="Q9" i="2" s="1"/>
  <c r="O10" i="4"/>
  <c r="O10" i="2"/>
  <c r="Q10" i="2" s="1"/>
  <c r="O8" i="2"/>
  <c r="Q8" i="2" s="1"/>
  <c r="M22" i="4"/>
  <c r="O22" i="4" s="1"/>
  <c r="O15" i="4"/>
  <c r="O25" i="4"/>
  <c r="O17" i="3"/>
  <c r="Q17" i="3" s="1"/>
  <c r="H16" i="1"/>
  <c r="O20" i="2" s="1"/>
  <c r="Q20" i="2" s="1"/>
  <c r="Q15" i="3"/>
  <c r="J22" i="2"/>
  <c r="Q10" i="3"/>
  <c r="Q11" i="3"/>
  <c r="O12" i="2"/>
  <c r="H55" i="1"/>
  <c r="O29" i="4" l="1"/>
  <c r="N22" i="2"/>
  <c r="O11" i="2"/>
  <c r="Q11" i="2" s="1"/>
  <c r="L29" i="4"/>
  <c r="M29" i="4"/>
  <c r="Q12" i="2"/>
  <c r="Q22" i="2" l="1"/>
  <c r="O22" i="2"/>
  <c r="H31" i="1"/>
  <c r="O13" i="3" s="1"/>
  <c r="Q13" i="3" l="1"/>
  <c r="Q19" i="3" s="1"/>
  <c r="O19" i="3"/>
  <c r="N19" i="3"/>
</calcChain>
</file>

<file path=xl/sharedStrings.xml><?xml version="1.0" encoding="utf-8"?>
<sst xmlns="http://schemas.openxmlformats.org/spreadsheetml/2006/main" count="167" uniqueCount="84">
  <si>
    <t>DESCONTO PROF EDUC. INFANTIL E FUNDAMENTAL I</t>
  </si>
  <si>
    <t>Nº</t>
  </si>
  <si>
    <t>FUNCIONÁRIOS</t>
  </si>
  <si>
    <t>VALE</t>
  </si>
  <si>
    <t>AG./APOST/UNIF</t>
  </si>
  <si>
    <t>MENS./FILHOS/SOBRINHOS</t>
  </si>
  <si>
    <t>OUTROS</t>
  </si>
  <si>
    <t>TOTAL DESCONTOS</t>
  </si>
  <si>
    <t>Janaína Maria Nunes</t>
  </si>
  <si>
    <t>TOTAL:</t>
  </si>
  <si>
    <t>Carlos Henrique Camilo de Matos</t>
  </si>
  <si>
    <t>Fernando Silva Olimpio</t>
  </si>
  <si>
    <t>FOLHA DE PAGAMENTO</t>
  </si>
  <si>
    <t xml:space="preserve">        Pagamentos</t>
  </si>
  <si>
    <t xml:space="preserve">                    Deduções</t>
  </si>
  <si>
    <t>Salário</t>
  </si>
  <si>
    <t>Saldo a</t>
  </si>
  <si>
    <t>Funcionários</t>
  </si>
  <si>
    <t>Aniv.</t>
  </si>
  <si>
    <t>Entrada</t>
  </si>
  <si>
    <t>Salário base</t>
  </si>
  <si>
    <t>Adicional</t>
  </si>
  <si>
    <t>Salário dobra</t>
  </si>
  <si>
    <t>1/3 férias</t>
  </si>
  <si>
    <t>Total</t>
  </si>
  <si>
    <t>INSS</t>
  </si>
  <si>
    <t>ADIANT.</t>
  </si>
  <si>
    <t>Deduções</t>
  </si>
  <si>
    <t>Família</t>
  </si>
  <si>
    <t>Receber</t>
  </si>
  <si>
    <t xml:space="preserve">Inês Vieira de Souza </t>
  </si>
  <si>
    <t>Láyslla Roberta dos Santos Gonçalves</t>
  </si>
  <si>
    <t>Leia Damasceno de Andrade Apolinario</t>
  </si>
  <si>
    <t>TOTAL</t>
  </si>
  <si>
    <t>Aniversário</t>
  </si>
  <si>
    <t xml:space="preserve">Salário base </t>
  </si>
  <si>
    <t>desconsiderar</t>
  </si>
  <si>
    <t>ADIANT</t>
  </si>
  <si>
    <t>Juliana Vieira Jorge</t>
  </si>
  <si>
    <t>Lucimar Souza Silva</t>
  </si>
  <si>
    <t>Rosângela Maria Dias</t>
  </si>
  <si>
    <t>Desconsiderar</t>
  </si>
  <si>
    <t>Letícia Dias de Castro</t>
  </si>
  <si>
    <t>Ana Livia Lourenço Ferreira</t>
  </si>
  <si>
    <t>Samantha Silva Amorim</t>
  </si>
  <si>
    <t>decênio</t>
  </si>
  <si>
    <t>Haniery Marques Fernandes</t>
  </si>
  <si>
    <t>ajuda de custo gasoliana</t>
  </si>
  <si>
    <t>Benedito Rodrigues borges</t>
  </si>
  <si>
    <t>Vinicius Ferreira Barbosa</t>
  </si>
  <si>
    <t xml:space="preserve"> </t>
  </si>
  <si>
    <t>Gabriel Ferreira e Silva</t>
  </si>
  <si>
    <t>Pedro Junio Dias Rosa</t>
  </si>
  <si>
    <t>Ricardo Alves Martins</t>
  </si>
  <si>
    <t>Renato Dias de Oliveira</t>
  </si>
  <si>
    <t>Laís Ramos Fernandes</t>
  </si>
  <si>
    <t>Vanessa Alves Soares</t>
  </si>
  <si>
    <t>Prof+monitora</t>
  </si>
  <si>
    <t>Thais Priscilla Souza</t>
  </si>
  <si>
    <t>Jordana Cristina Silava Gaioso</t>
  </si>
  <si>
    <t>Eduarda Lais Silva Candido</t>
  </si>
  <si>
    <t xml:space="preserve">IR </t>
  </si>
  <si>
    <t xml:space="preserve">Selma Luiz de Paula </t>
  </si>
  <si>
    <t>Miramar Barbosa Silva</t>
  </si>
  <si>
    <t>04/08/205</t>
  </si>
  <si>
    <t xml:space="preserve">Saillen Christinna Pereira Couto </t>
  </si>
  <si>
    <t>Bruna Rocha Ferreira</t>
  </si>
  <si>
    <t>Cantina</t>
  </si>
  <si>
    <t>Any Karolliny Rodrigues Siqueira</t>
  </si>
  <si>
    <t>Suzane dos Santos Martins</t>
  </si>
  <si>
    <t>CARLOS LEONARDO ALVES SOARES</t>
  </si>
  <si>
    <t>Carolina Cardoso Miranda</t>
  </si>
  <si>
    <t>Maria de Fatima Silva</t>
  </si>
  <si>
    <t xml:space="preserve">Monitora </t>
  </si>
  <si>
    <t>Maria de Fátima Silva</t>
  </si>
  <si>
    <t>Carlos Leonardo Alves Soares</t>
  </si>
  <si>
    <t>cantina</t>
  </si>
  <si>
    <t>Lembrancinha dia das mães</t>
  </si>
  <si>
    <t>mensalidade/Cantina/Dia das mães</t>
  </si>
  <si>
    <t>2 diarias</t>
  </si>
  <si>
    <t>01/05/2026 a 31/05/2026</t>
  </si>
  <si>
    <t>sindicato</t>
  </si>
  <si>
    <t>consig</t>
  </si>
  <si>
    <t>Cantina/consiguinado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</si>
</sst>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(* #,##0.00_);_(* \(#,##0.00\);_(* &quot;-&quot;??_);_(@_)"/>
    <numFmt numFmtId="166" formatCode="#,##0.00;[Red]#,##0.00"/>
    <numFmt numFmtId="167" formatCode="d/m/yy"/>
    <numFmt numFmtId="168" formatCode="d/m"/>
    <numFmt numFmtId="169" formatCode="dd/mm/yy"/>
    <numFmt numFmtId="170" formatCode="d/m;@"/>
    <numFmt numFmtId="171" formatCode="dd/mm/yy;@"/>
  </numFmts>
  <fonts count="3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0"/>
      <color theme="4"/>
      <name val="Arial"/>
      <family val="2"/>
    </font>
    <font>
      <b/>
      <sz val="12"/>
      <color theme="4"/>
      <name val="Arial"/>
      <family val="2"/>
    </font>
    <font>
      <sz val="12"/>
      <color theme="1"/>
      <name val="Calibri"/>
      <family val="2"/>
    </font>
    <font>
      <b/>
      <sz val="10"/>
      <color rgb="FFFF0000"/>
      <name val="Open Sans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Bookman Old Style"/>
      <family val="1"/>
    </font>
    <font>
      <sz val="14"/>
      <color theme="1"/>
      <name val="CG Times"/>
    </font>
    <font>
      <sz val="13"/>
      <color theme="1"/>
      <name val="Bookman Old Style"/>
      <family val="1"/>
    </font>
    <font>
      <b/>
      <sz val="12"/>
      <color rgb="FFFF0000"/>
      <name val="Bookman Old Style"/>
      <family val="1"/>
    </font>
    <font>
      <sz val="12"/>
      <color rgb="FFFF0000"/>
      <name val="Bookman Old Style"/>
      <family val="1"/>
    </font>
    <font>
      <sz val="10"/>
      <color rgb="FFFF0000"/>
      <name val="Bookman Old Style"/>
      <family val="1"/>
    </font>
    <font>
      <sz val="13"/>
      <color theme="1"/>
      <name val="Open Sans"/>
    </font>
    <font>
      <b/>
      <sz val="12"/>
      <color rgb="FF00B0F0"/>
      <name val="Arial"/>
      <family val="2"/>
    </font>
    <font>
      <b/>
      <sz val="10"/>
      <color rgb="FFFF0000"/>
      <name val="Century Gothic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12"/>
      <name val="Bookman Old Style"/>
      <family val="1"/>
    </font>
    <font>
      <sz val="12"/>
      <name val="Arial"/>
      <family val="2"/>
    </font>
    <font>
      <sz val="14"/>
      <name val="Arial"/>
      <family val="2"/>
    </font>
    <font>
      <sz val="9"/>
      <color theme="1"/>
      <name val="Arial"/>
      <family val="2"/>
    </font>
    <font>
      <sz val="14"/>
      <color rgb="FFFF0000"/>
      <name val="Arial"/>
      <family val="2"/>
    </font>
    <font>
      <b/>
      <sz val="14"/>
      <color rgb="FFC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A5A5A5"/>
        <bgColor rgb="FFA5A5A5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/>
        <bgColor rgb="FFFABF8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0"/>
        <bgColor rgb="FFC0C0C0"/>
      </patternFill>
    </fill>
    <fill>
      <patternFill patternType="solid">
        <fgColor rgb="FF00B0F0"/>
        <bgColor theme="0"/>
      </patternFill>
    </fill>
    <fill>
      <patternFill patternType="solid">
        <fgColor theme="8"/>
        <bgColor theme="0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6D9F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4">
    <xf numFmtId="0" fontId="0" fillId="0" borderId="0"/>
    <xf numFmtId="165" fontId="28" fillId="0" borderId="8" applyFont="0" applyFill="0" applyBorder="0" applyAlignment="0" applyProtection="0"/>
    <xf numFmtId="0" fontId="28" fillId="0" borderId="8"/>
    <xf numFmtId="44" fontId="34" fillId="0" borderId="0" applyFont="0" applyFill="0" applyBorder="0" applyAlignment="0" applyProtection="0"/>
  </cellStyleXfs>
  <cellXfs count="365">
    <xf numFmtId="0" fontId="0" fillId="0" borderId="0" xfId="0"/>
    <xf numFmtId="0" fontId="7" fillId="0" borderId="0" xfId="0" applyFont="1"/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0" fontId="9" fillId="0" borderId="7" xfId="0" applyFont="1" applyBorder="1" applyAlignment="1">
      <alignment horizontal="center" wrapText="1"/>
    </xf>
    <xf numFmtId="0" fontId="10" fillId="0" borderId="0" xfId="0" applyFont="1"/>
    <xf numFmtId="0" fontId="11" fillId="0" borderId="7" xfId="0" applyFont="1" applyBorder="1"/>
    <xf numFmtId="0" fontId="12" fillId="2" borderId="7" xfId="0" applyFont="1" applyFill="1" applyBorder="1"/>
    <xf numFmtId="164" fontId="13" fillId="0" borderId="7" xfId="0" applyNumberFormat="1" applyFont="1" applyBorder="1"/>
    <xf numFmtId="164" fontId="13" fillId="0" borderId="7" xfId="0" applyNumberFormat="1" applyFont="1" applyBorder="1" applyAlignment="1">
      <alignment horizontal="center"/>
    </xf>
    <xf numFmtId="165" fontId="12" fillId="0" borderId="7" xfId="0" applyNumberFormat="1" applyFont="1" applyBorder="1"/>
    <xf numFmtId="0" fontId="14" fillId="3" borderId="8" xfId="0" applyFont="1" applyFill="1" applyBorder="1"/>
    <xf numFmtId="0" fontId="14" fillId="0" borderId="0" xfId="0" applyFont="1"/>
    <xf numFmtId="0" fontId="16" fillId="0" borderId="0" xfId="0" applyFont="1"/>
    <xf numFmtId="0" fontId="17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3" fillId="2" borderId="7" xfId="0" applyNumberFormat="1" applyFont="1" applyFill="1" applyBorder="1"/>
    <xf numFmtId="164" fontId="13" fillId="2" borderId="7" xfId="0" applyNumberFormat="1" applyFont="1" applyFill="1" applyBorder="1" applyAlignment="1">
      <alignment horizontal="center"/>
    </xf>
    <xf numFmtId="164" fontId="13" fillId="3" borderId="7" xfId="0" applyNumberFormat="1" applyFont="1" applyFill="1" applyBorder="1" applyAlignment="1">
      <alignment horizontal="center"/>
    </xf>
    <xf numFmtId="0" fontId="18" fillId="0" borderId="0" xfId="0" applyFont="1"/>
    <xf numFmtId="0" fontId="13" fillId="0" borderId="1" xfId="0" applyFont="1" applyBorder="1"/>
    <xf numFmtId="0" fontId="13" fillId="0" borderId="2" xfId="0" applyFont="1" applyBorder="1"/>
    <xf numFmtId="0" fontId="13" fillId="0" borderId="0" xfId="0" applyFont="1"/>
    <xf numFmtId="166" fontId="20" fillId="0" borderId="0" xfId="0" applyNumberFormat="1" applyFont="1"/>
    <xf numFmtId="167" fontId="16" fillId="0" borderId="0" xfId="0" applyNumberFormat="1" applyFont="1"/>
    <xf numFmtId="0" fontId="13" fillId="0" borderId="7" xfId="0" applyFont="1" applyBorder="1"/>
    <xf numFmtId="0" fontId="21" fillId="0" borderId="7" xfId="0" applyFont="1" applyBorder="1"/>
    <xf numFmtId="0" fontId="22" fillId="0" borderId="7" xfId="0" applyFont="1" applyBorder="1" applyAlignment="1">
      <alignment horizontal="right"/>
    </xf>
    <xf numFmtId="0" fontId="23" fillId="0" borderId="0" xfId="0" applyFont="1" applyAlignment="1">
      <alignment horizontal="center"/>
    </xf>
    <xf numFmtId="164" fontId="17" fillId="0" borderId="0" xfId="0" applyNumberFormat="1" applyFont="1"/>
    <xf numFmtId="0" fontId="17" fillId="0" borderId="0" xfId="0" applyFont="1"/>
    <xf numFmtId="0" fontId="14" fillId="2" borderId="8" xfId="0" applyFont="1" applyFill="1" applyBorder="1"/>
    <xf numFmtId="164" fontId="10" fillId="0" borderId="7" xfId="0" applyNumberFormat="1" applyFont="1" applyBorder="1"/>
    <xf numFmtId="165" fontId="10" fillId="0" borderId="7" xfId="0" applyNumberFormat="1" applyFont="1" applyBorder="1"/>
    <xf numFmtId="0" fontId="19" fillId="0" borderId="7" xfId="0" applyFont="1" applyBorder="1" applyAlignment="1">
      <alignment horizontal="center"/>
    </xf>
    <xf numFmtId="0" fontId="24" fillId="0" borderId="0" xfId="0" applyFont="1"/>
    <xf numFmtId="164" fontId="13" fillId="13" borderId="7" xfId="0" applyNumberFormat="1" applyFont="1" applyFill="1" applyBorder="1" applyAlignment="1">
      <alignment horizontal="center"/>
    </xf>
    <xf numFmtId="0" fontId="0" fillId="14" borderId="0" xfId="0" applyFill="1"/>
    <xf numFmtId="0" fontId="0" fillId="10" borderId="0" xfId="0" applyFill="1"/>
    <xf numFmtId="0" fontId="12" fillId="2" borderId="26" xfId="0" applyFont="1" applyFill="1" applyBorder="1"/>
    <xf numFmtId="164" fontId="13" fillId="17" borderId="7" xfId="0" applyNumberFormat="1" applyFont="1" applyFill="1" applyBorder="1" applyAlignment="1">
      <alignment horizontal="center"/>
    </xf>
    <xf numFmtId="0" fontId="25" fillId="4" borderId="18" xfId="0" applyFont="1" applyFill="1" applyBorder="1" applyAlignment="1">
      <alignment horizontal="center"/>
    </xf>
    <xf numFmtId="0" fontId="25" fillId="4" borderId="19" xfId="0" applyFont="1" applyFill="1" applyBorder="1" applyAlignment="1">
      <alignment horizontal="center"/>
    </xf>
    <xf numFmtId="0" fontId="25" fillId="4" borderId="19" xfId="0" applyFont="1" applyFill="1" applyBorder="1" applyAlignment="1">
      <alignment horizontal="center" wrapText="1"/>
    </xf>
    <xf numFmtId="0" fontId="26" fillId="0" borderId="7" xfId="0" applyFont="1" applyBorder="1" applyAlignment="1">
      <alignment horizontal="center"/>
    </xf>
    <xf numFmtId="0" fontId="25" fillId="2" borderId="7" xfId="0" applyFont="1" applyFill="1" applyBorder="1"/>
    <xf numFmtId="169" fontId="25" fillId="2" borderId="7" xfId="0" applyNumberFormat="1" applyFont="1" applyFill="1" applyBorder="1" applyAlignment="1">
      <alignment horizontal="right"/>
    </xf>
    <xf numFmtId="4" fontId="25" fillId="2" borderId="7" xfId="0" applyNumberFormat="1" applyFont="1" applyFill="1" applyBorder="1" applyAlignment="1">
      <alignment horizontal="right"/>
    </xf>
    <xf numFmtId="4" fontId="25" fillId="0" borderId="7" xfId="0" applyNumberFormat="1" applyFont="1" applyBorder="1" applyAlignment="1">
      <alignment horizontal="right"/>
    </xf>
    <xf numFmtId="165" fontId="25" fillId="0" borderId="7" xfId="0" applyNumberFormat="1" applyFont="1" applyBorder="1"/>
    <xf numFmtId="165" fontId="25" fillId="2" borderId="7" xfId="0" applyNumberFormat="1" applyFont="1" applyFill="1" applyBorder="1" applyAlignment="1">
      <alignment horizontal="right"/>
    </xf>
    <xf numFmtId="166" fontId="25" fillId="2" borderId="7" xfId="0" applyNumberFormat="1" applyFont="1" applyFill="1" applyBorder="1" applyAlignment="1">
      <alignment horizontal="right"/>
    </xf>
    <xf numFmtId="166" fontId="25" fillId="0" borderId="7" xfId="0" applyNumberFormat="1" applyFont="1" applyBorder="1" applyAlignment="1">
      <alignment horizontal="right" vertical="center" wrapText="1"/>
    </xf>
    <xf numFmtId="165" fontId="25" fillId="0" borderId="7" xfId="0" applyNumberFormat="1" applyFont="1" applyBorder="1" applyAlignment="1">
      <alignment horizontal="center"/>
    </xf>
    <xf numFmtId="169" fontId="25" fillId="0" borderId="7" xfId="0" applyNumberFormat="1" applyFont="1" applyBorder="1" applyAlignment="1">
      <alignment horizontal="right"/>
    </xf>
    <xf numFmtId="164" fontId="25" fillId="0" borderId="7" xfId="0" applyNumberFormat="1" applyFont="1" applyBorder="1" applyAlignment="1">
      <alignment horizontal="right"/>
    </xf>
    <xf numFmtId="166" fontId="25" fillId="12" borderId="7" xfId="0" applyNumberFormat="1" applyFont="1" applyFill="1" applyBorder="1" applyAlignment="1">
      <alignment horizontal="right"/>
    </xf>
    <xf numFmtId="0" fontId="25" fillId="0" borderId="7" xfId="0" applyFont="1" applyBorder="1" applyAlignment="1">
      <alignment horizontal="center"/>
    </xf>
    <xf numFmtId="0" fontId="25" fillId="4" borderId="7" xfId="0" applyFont="1" applyFill="1" applyBorder="1" applyAlignment="1">
      <alignment horizontal="right"/>
    </xf>
    <xf numFmtId="0" fontId="25" fillId="4" borderId="7" xfId="0" applyFont="1" applyFill="1" applyBorder="1"/>
    <xf numFmtId="4" fontId="25" fillId="4" borderId="7" xfId="0" applyNumberFormat="1" applyFont="1" applyFill="1" applyBorder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center"/>
    </xf>
    <xf numFmtId="167" fontId="25" fillId="0" borderId="0" xfId="0" applyNumberFormat="1" applyFont="1"/>
    <xf numFmtId="0" fontId="25" fillId="4" borderId="7" xfId="0" applyFont="1" applyFill="1" applyBorder="1" applyAlignment="1">
      <alignment horizontal="center"/>
    </xf>
    <xf numFmtId="0" fontId="27" fillId="4" borderId="19" xfId="0" applyFont="1" applyFill="1" applyBorder="1" applyAlignment="1">
      <alignment horizontal="center" wrapText="1"/>
    </xf>
    <xf numFmtId="0" fontId="25" fillId="4" borderId="20" xfId="0" applyFont="1" applyFill="1" applyBorder="1" applyAlignment="1">
      <alignment horizontal="center"/>
    </xf>
    <xf numFmtId="0" fontId="25" fillId="10" borderId="0" xfId="0" applyFont="1" applyFill="1"/>
    <xf numFmtId="0" fontId="25" fillId="0" borderId="0" xfId="0" applyFont="1" applyAlignment="1">
      <alignment horizontal="right"/>
    </xf>
    <xf numFmtId="3" fontId="25" fillId="0" borderId="0" xfId="0" applyNumberFormat="1" applyFont="1" applyAlignment="1">
      <alignment horizontal="center"/>
    </xf>
    <xf numFmtId="0" fontId="25" fillId="4" borderId="21" xfId="0" applyFont="1" applyFill="1" applyBorder="1" applyAlignment="1">
      <alignment horizontal="center"/>
    </xf>
    <xf numFmtId="0" fontId="25" fillId="4" borderId="23" xfId="0" applyFont="1" applyFill="1" applyBorder="1" applyAlignment="1">
      <alignment horizontal="center"/>
    </xf>
    <xf numFmtId="0" fontId="25" fillId="16" borderId="19" xfId="0" applyFont="1" applyFill="1" applyBorder="1" applyAlignment="1">
      <alignment horizontal="center"/>
    </xf>
    <xf numFmtId="0" fontId="25" fillId="4" borderId="19" xfId="0" applyFont="1" applyFill="1" applyBorder="1" applyAlignment="1">
      <alignment horizontal="right" shrinkToFit="1"/>
    </xf>
    <xf numFmtId="0" fontId="25" fillId="5" borderId="19" xfId="0" applyFont="1" applyFill="1" applyBorder="1" applyAlignment="1">
      <alignment horizontal="center"/>
    </xf>
    <xf numFmtId="4" fontId="25" fillId="2" borderId="7" xfId="0" applyNumberFormat="1" applyFont="1" applyFill="1" applyBorder="1" applyAlignment="1">
      <alignment horizontal="center" vertical="center"/>
    </xf>
    <xf numFmtId="165" fontId="25" fillId="5" borderId="20" xfId="0" applyNumberFormat="1" applyFont="1" applyFill="1" applyBorder="1" applyAlignment="1">
      <alignment horizontal="center"/>
    </xf>
    <xf numFmtId="165" fontId="25" fillId="0" borderId="26" xfId="0" applyNumberFormat="1" applyFont="1" applyBorder="1"/>
    <xf numFmtId="165" fontId="25" fillId="0" borderId="3" xfId="0" applyNumberFormat="1" applyFont="1" applyBorder="1" applyAlignment="1">
      <alignment horizontal="right" shrinkToFit="1"/>
    </xf>
    <xf numFmtId="165" fontId="25" fillId="5" borderId="19" xfId="0" applyNumberFormat="1" applyFont="1" applyFill="1" applyBorder="1"/>
    <xf numFmtId="168" fontId="25" fillId="2" borderId="19" xfId="0" applyNumberFormat="1" applyFont="1" applyFill="1" applyBorder="1" applyAlignment="1">
      <alignment horizontal="center"/>
    </xf>
    <xf numFmtId="169" fontId="25" fillId="0" borderId="19" xfId="0" applyNumberFormat="1" applyFont="1" applyBorder="1" applyAlignment="1">
      <alignment horizontal="center"/>
    </xf>
    <xf numFmtId="169" fontId="25" fillId="0" borderId="7" xfId="0" applyNumberFormat="1" applyFont="1" applyBorder="1" applyAlignment="1">
      <alignment horizontal="center"/>
    </xf>
    <xf numFmtId="4" fontId="25" fillId="0" borderId="7" xfId="0" applyNumberFormat="1" applyFont="1" applyBorder="1" applyAlignment="1">
      <alignment horizontal="center"/>
    </xf>
    <xf numFmtId="165" fontId="25" fillId="0" borderId="19" xfId="0" applyNumberFormat="1" applyFont="1" applyBorder="1"/>
    <xf numFmtId="168" fontId="25" fillId="0" borderId="7" xfId="0" applyNumberFormat="1" applyFont="1" applyBorder="1" applyAlignment="1">
      <alignment horizontal="center"/>
    </xf>
    <xf numFmtId="0" fontId="25" fillId="7" borderId="7" xfId="0" applyFont="1" applyFill="1" applyBorder="1"/>
    <xf numFmtId="168" fontId="25" fillId="7" borderId="7" xfId="0" applyNumberFormat="1" applyFont="1" applyFill="1" applyBorder="1" applyAlignment="1">
      <alignment horizontal="center"/>
    </xf>
    <xf numFmtId="169" fontId="25" fillId="7" borderId="7" xfId="0" applyNumberFormat="1" applyFont="1" applyFill="1" applyBorder="1" applyAlignment="1">
      <alignment horizontal="center"/>
    </xf>
    <xf numFmtId="4" fontId="25" fillId="7" borderId="7" xfId="0" applyNumberFormat="1" applyFont="1" applyFill="1" applyBorder="1" applyAlignment="1">
      <alignment horizontal="center"/>
    </xf>
    <xf numFmtId="4" fontId="25" fillId="7" borderId="7" xfId="0" applyNumberFormat="1" applyFont="1" applyFill="1" applyBorder="1"/>
    <xf numFmtId="4" fontId="25" fillId="7" borderId="7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6" fillId="0" borderId="0" xfId="0" applyFont="1" applyAlignment="1">
      <alignment horizontal="center"/>
    </xf>
    <xf numFmtId="0" fontId="25" fillId="0" borderId="0" xfId="0" applyFont="1" applyFill="1"/>
    <xf numFmtId="0" fontId="25" fillId="0" borderId="0" xfId="0" applyFont="1"/>
    <xf numFmtId="0" fontId="25" fillId="0" borderId="7" xfId="0" applyFont="1" applyFill="1" applyBorder="1"/>
    <xf numFmtId="0" fontId="26" fillId="0" borderId="7" xfId="0" applyFont="1" applyFill="1" applyBorder="1" applyAlignment="1">
      <alignment horizontal="right"/>
    </xf>
    <xf numFmtId="0" fontId="25" fillId="0" borderId="0" xfId="0" applyFont="1"/>
    <xf numFmtId="168" fontId="25" fillId="0" borderId="7" xfId="0" applyNumberFormat="1" applyFont="1" applyFill="1" applyBorder="1" applyAlignment="1">
      <alignment horizontal="center"/>
    </xf>
    <xf numFmtId="169" fontId="25" fillId="0" borderId="7" xfId="0" applyNumberFormat="1" applyFont="1" applyFill="1" applyBorder="1" applyAlignment="1">
      <alignment horizontal="center"/>
    </xf>
    <xf numFmtId="4" fontId="25" fillId="0" borderId="7" xfId="0" applyNumberFormat="1" applyFont="1" applyFill="1" applyBorder="1" applyAlignment="1">
      <alignment horizontal="center" vertical="center"/>
    </xf>
    <xf numFmtId="4" fontId="25" fillId="0" borderId="7" xfId="0" applyNumberFormat="1" applyFont="1" applyFill="1" applyBorder="1" applyAlignment="1">
      <alignment horizontal="center"/>
    </xf>
    <xf numFmtId="165" fontId="25" fillId="0" borderId="19" xfId="0" applyNumberFormat="1" applyFont="1" applyFill="1" applyBorder="1" applyAlignment="1">
      <alignment horizontal="center"/>
    </xf>
    <xf numFmtId="165" fontId="25" fillId="0" borderId="19" xfId="0" applyNumberFormat="1" applyFont="1" applyFill="1" applyBorder="1"/>
    <xf numFmtId="0" fontId="12" fillId="0" borderId="0" xfId="0" applyFont="1" applyFill="1"/>
    <xf numFmtId="14" fontId="25" fillId="0" borderId="0" xfId="0" applyNumberFormat="1" applyFont="1"/>
    <xf numFmtId="14" fontId="25" fillId="4" borderId="19" xfId="0" applyNumberFormat="1" applyFont="1" applyFill="1" applyBorder="1" applyAlignment="1">
      <alignment horizontal="center"/>
    </xf>
    <xf numFmtId="14" fontId="25" fillId="2" borderId="7" xfId="0" applyNumberFormat="1" applyFont="1" applyFill="1" applyBorder="1"/>
    <xf numFmtId="14" fontId="25" fillId="0" borderId="7" xfId="0" applyNumberFormat="1" applyFont="1" applyBorder="1" applyAlignment="1">
      <alignment horizontal="right"/>
    </xf>
    <xf numFmtId="14" fontId="25" fillId="4" borderId="7" xfId="0" applyNumberFormat="1" applyFont="1" applyFill="1" applyBorder="1"/>
    <xf numFmtId="14" fontId="25" fillId="0" borderId="0" xfId="0" applyNumberFormat="1" applyFont="1" applyFill="1"/>
    <xf numFmtId="0" fontId="25" fillId="0" borderId="0" xfId="0" applyFont="1"/>
    <xf numFmtId="165" fontId="25" fillId="0" borderId="7" xfId="0" applyNumberFormat="1" applyFont="1" applyFill="1" applyBorder="1" applyAlignment="1">
      <alignment horizontal="center"/>
    </xf>
    <xf numFmtId="0" fontId="0" fillId="0" borderId="0" xfId="0" applyFill="1"/>
    <xf numFmtId="0" fontId="30" fillId="0" borderId="26" xfId="0" applyFont="1" applyFill="1" applyBorder="1"/>
    <xf numFmtId="49" fontId="30" fillId="0" borderId="26" xfId="0" applyNumberFormat="1" applyFont="1" applyFill="1" applyBorder="1"/>
    <xf numFmtId="0" fontId="25" fillId="0" borderId="26" xfId="0" applyFont="1" applyFill="1" applyBorder="1"/>
    <xf numFmtId="49" fontId="25" fillId="0" borderId="26" xfId="0" applyNumberFormat="1" applyFont="1" applyFill="1" applyBorder="1"/>
    <xf numFmtId="49" fontId="12" fillId="0" borderId="26" xfId="0" applyNumberFormat="1" applyFont="1" applyBorder="1"/>
    <xf numFmtId="4" fontId="25" fillId="2" borderId="12" xfId="0" applyNumberFormat="1" applyFont="1" applyFill="1" applyBorder="1" applyAlignment="1">
      <alignment horizontal="center"/>
    </xf>
    <xf numFmtId="0" fontId="26" fillId="0" borderId="0" xfId="0" applyFont="1" applyFill="1"/>
    <xf numFmtId="0" fontId="25" fillId="0" borderId="7" xfId="0" applyFont="1" applyFill="1" applyBorder="1" applyAlignment="1">
      <alignment horizontal="right"/>
    </xf>
    <xf numFmtId="0" fontId="25" fillId="0" borderId="0" xfId="0" applyFont="1"/>
    <xf numFmtId="0" fontId="25" fillId="0" borderId="0" xfId="0" applyFont="1"/>
    <xf numFmtId="0" fontId="30" fillId="0" borderId="0" xfId="0" applyFont="1"/>
    <xf numFmtId="0" fontId="3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5" fillId="0" borderId="0" xfId="0" applyFont="1"/>
    <xf numFmtId="0" fontId="25" fillId="0" borderId="0" xfId="0" applyFont="1"/>
    <xf numFmtId="0" fontId="26" fillId="0" borderId="7" xfId="0" applyFont="1" applyFill="1" applyBorder="1" applyAlignment="1">
      <alignment horizontal="center"/>
    </xf>
    <xf numFmtId="14" fontId="30" fillId="0" borderId="7" xfId="0" applyNumberFormat="1" applyFont="1" applyFill="1" applyBorder="1"/>
    <xf numFmtId="166" fontId="30" fillId="0" borderId="7" xfId="0" applyNumberFormat="1" applyFont="1" applyFill="1" applyBorder="1" applyAlignment="1">
      <alignment horizontal="right"/>
    </xf>
    <xf numFmtId="4" fontId="30" fillId="0" borderId="7" xfId="0" applyNumberFormat="1" applyFont="1" applyFill="1" applyBorder="1" applyAlignment="1">
      <alignment horizontal="right"/>
    </xf>
    <xf numFmtId="166" fontId="30" fillId="0" borderId="7" xfId="0" applyNumberFormat="1" applyFont="1" applyFill="1" applyBorder="1" applyAlignment="1">
      <alignment horizontal="right" vertical="center" wrapText="1"/>
    </xf>
    <xf numFmtId="14" fontId="25" fillId="0" borderId="7" xfId="0" applyNumberFormat="1" applyFont="1" applyFill="1" applyBorder="1"/>
    <xf numFmtId="169" fontId="25" fillId="0" borderId="7" xfId="0" applyNumberFormat="1" applyFont="1" applyFill="1" applyBorder="1" applyAlignment="1">
      <alignment horizontal="right"/>
    </xf>
    <xf numFmtId="165" fontId="25" fillId="0" borderId="7" xfId="0" applyNumberFormat="1" applyFont="1" applyFill="1" applyBorder="1" applyAlignment="1">
      <alignment horizontal="right"/>
    </xf>
    <xf numFmtId="0" fontId="25" fillId="0" borderId="19" xfId="0" applyFont="1" applyFill="1" applyBorder="1"/>
    <xf numFmtId="49" fontId="12" fillId="0" borderId="26" xfId="0" applyNumberFormat="1" applyFont="1" applyFill="1" applyBorder="1"/>
    <xf numFmtId="0" fontId="29" fillId="0" borderId="26" xfId="0" applyFont="1" applyFill="1" applyBorder="1"/>
    <xf numFmtId="0" fontId="12" fillId="0" borderId="26" xfId="0" applyFont="1" applyFill="1" applyBorder="1"/>
    <xf numFmtId="0" fontId="25" fillId="0" borderId="8" xfId="0" applyFont="1" applyFill="1" applyBorder="1"/>
    <xf numFmtId="49" fontId="12" fillId="0" borderId="8" xfId="0" applyNumberFormat="1" applyFont="1" applyFill="1" applyBorder="1"/>
    <xf numFmtId="0" fontId="33" fillId="0" borderId="0" xfId="0" applyFont="1"/>
    <xf numFmtId="0" fontId="35" fillId="0" borderId="7" xfId="0" applyFont="1" applyFill="1" applyBorder="1"/>
    <xf numFmtId="0" fontId="35" fillId="2" borderId="7" xfId="0" applyFont="1" applyFill="1" applyBorder="1"/>
    <xf numFmtId="0" fontId="26" fillId="10" borderId="0" xfId="0" applyFont="1" applyFill="1"/>
    <xf numFmtId="0" fontId="12" fillId="4" borderId="26" xfId="0" applyFont="1" applyFill="1" applyBorder="1"/>
    <xf numFmtId="0" fontId="12" fillId="4" borderId="26" xfId="0" applyFont="1" applyFill="1" applyBorder="1" applyAlignment="1">
      <alignment horizontal="center"/>
    </xf>
    <xf numFmtId="0" fontId="12" fillId="4" borderId="26" xfId="0" applyFont="1" applyFill="1" applyBorder="1" applyAlignment="1">
      <alignment horizontal="center" wrapText="1"/>
    </xf>
    <xf numFmtId="0" fontId="12" fillId="4" borderId="26" xfId="0" applyFont="1" applyFill="1" applyBorder="1" applyAlignment="1">
      <alignment horizontal="right" shrinkToFit="1"/>
    </xf>
    <xf numFmtId="0" fontId="12" fillId="5" borderId="26" xfId="0" applyFont="1" applyFill="1" applyBorder="1" applyAlignment="1">
      <alignment horizontal="center"/>
    </xf>
    <xf numFmtId="168" fontId="12" fillId="2" borderId="26" xfId="0" applyNumberFormat="1" applyFont="1" applyFill="1" applyBorder="1" applyAlignment="1">
      <alignment horizontal="center"/>
    </xf>
    <xf numFmtId="169" fontId="12" fillId="2" borderId="26" xfId="0" applyNumberFormat="1" applyFont="1" applyFill="1" applyBorder="1" applyAlignment="1">
      <alignment horizontal="center"/>
    </xf>
    <xf numFmtId="4" fontId="12" fillId="2" borderId="26" xfId="0" applyNumberFormat="1" applyFont="1" applyFill="1" applyBorder="1" applyAlignment="1">
      <alignment horizontal="right"/>
    </xf>
    <xf numFmtId="4" fontId="12" fillId="0" borderId="26" xfId="0" applyNumberFormat="1" applyFont="1" applyFill="1" applyBorder="1" applyAlignment="1">
      <alignment horizontal="center"/>
    </xf>
    <xf numFmtId="165" fontId="12" fillId="2" borderId="26" xfId="0" applyNumberFormat="1" applyFont="1" applyFill="1" applyBorder="1" applyAlignment="1">
      <alignment horizontal="center"/>
    </xf>
    <xf numFmtId="165" fontId="12" fillId="8" borderId="26" xfId="0" applyNumberFormat="1" applyFont="1" applyFill="1" applyBorder="1" applyAlignment="1">
      <alignment horizontal="center"/>
    </xf>
    <xf numFmtId="165" fontId="12" fillId="2" borderId="26" xfId="0" applyNumberFormat="1" applyFont="1" applyFill="1" applyBorder="1"/>
    <xf numFmtId="165" fontId="12" fillId="8" borderId="26" xfId="0" applyNumberFormat="1" applyFont="1" applyFill="1" applyBorder="1"/>
    <xf numFmtId="166" fontId="12" fillId="0" borderId="26" xfId="0" applyNumberFormat="1" applyFont="1" applyBorder="1"/>
    <xf numFmtId="168" fontId="12" fillId="0" borderId="26" xfId="0" applyNumberFormat="1" applyFont="1" applyBorder="1"/>
    <xf numFmtId="169" fontId="12" fillId="0" borderId="26" xfId="0" applyNumberFormat="1" applyFont="1" applyBorder="1" applyAlignment="1">
      <alignment horizontal="center"/>
    </xf>
    <xf numFmtId="4" fontId="12" fillId="0" borderId="26" xfId="0" applyNumberFormat="1" applyFont="1" applyBorder="1" applyAlignment="1">
      <alignment horizontal="right"/>
    </xf>
    <xf numFmtId="4" fontId="12" fillId="6" borderId="26" xfId="0" applyNumberFormat="1" applyFont="1" applyFill="1" applyBorder="1" applyAlignment="1">
      <alignment horizontal="center"/>
    </xf>
    <xf numFmtId="168" fontId="12" fillId="0" borderId="26" xfId="0" applyNumberFormat="1" applyFont="1" applyBorder="1" applyAlignment="1">
      <alignment horizontal="center"/>
    </xf>
    <xf numFmtId="4" fontId="12" fillId="15" borderId="26" xfId="0" applyNumberFormat="1" applyFont="1" applyFill="1" applyBorder="1" applyAlignment="1">
      <alignment horizontal="center"/>
    </xf>
    <xf numFmtId="0" fontId="12" fillId="7" borderId="13" xfId="0" applyFont="1" applyFill="1" applyBorder="1"/>
    <xf numFmtId="168" fontId="12" fillId="7" borderId="13" xfId="0" applyNumberFormat="1" applyFont="1" applyFill="1" applyBorder="1" applyAlignment="1">
      <alignment horizontal="center"/>
    </xf>
    <xf numFmtId="169" fontId="12" fillId="7" borderId="13" xfId="0" applyNumberFormat="1" applyFont="1" applyFill="1" applyBorder="1" applyAlignment="1">
      <alignment horizontal="center"/>
    </xf>
    <xf numFmtId="4" fontId="12" fillId="7" borderId="13" xfId="0" applyNumberFormat="1" applyFont="1" applyFill="1" applyBorder="1" applyAlignment="1">
      <alignment horizontal="center"/>
    </xf>
    <xf numFmtId="4" fontId="12" fillId="7" borderId="13" xfId="0" applyNumberFormat="1" applyFont="1" applyFill="1" applyBorder="1"/>
    <xf numFmtId="4" fontId="12" fillId="7" borderId="13" xfId="0" applyNumberFormat="1" applyFont="1" applyFill="1" applyBorder="1" applyAlignment="1">
      <alignment horizontal="right"/>
    </xf>
    <xf numFmtId="0" fontId="25" fillId="0" borderId="0" xfId="0" applyFont="1"/>
    <xf numFmtId="0" fontId="25" fillId="4" borderId="28" xfId="0" applyFont="1" applyFill="1" applyBorder="1"/>
    <xf numFmtId="0" fontId="25" fillId="0" borderId="8" xfId="0" applyFont="1" applyBorder="1"/>
    <xf numFmtId="0" fontId="25" fillId="10" borderId="8" xfId="0" applyFont="1" applyFill="1" applyBorder="1"/>
    <xf numFmtId="43" fontId="25" fillId="0" borderId="0" xfId="0" applyNumberFormat="1" applyFont="1"/>
    <xf numFmtId="4" fontId="12" fillId="18" borderId="26" xfId="0" applyNumberFormat="1" applyFont="1" applyFill="1" applyBorder="1" applyAlignment="1">
      <alignment horizontal="center"/>
    </xf>
    <xf numFmtId="0" fontId="25" fillId="0" borderId="0" xfId="0" applyFont="1"/>
    <xf numFmtId="166" fontId="25" fillId="0" borderId="7" xfId="0" applyNumberFormat="1" applyFont="1" applyFill="1" applyBorder="1" applyAlignment="1">
      <alignment horizontal="right" vertical="center" wrapText="1"/>
    </xf>
    <xf numFmtId="4" fontId="25" fillId="0" borderId="7" xfId="0" applyNumberFormat="1" applyFont="1" applyFill="1" applyBorder="1" applyAlignment="1">
      <alignment horizontal="right"/>
    </xf>
    <xf numFmtId="164" fontId="25" fillId="0" borderId="7" xfId="0" applyNumberFormat="1" applyFont="1" applyFill="1" applyBorder="1" applyAlignment="1">
      <alignment horizontal="right"/>
    </xf>
    <xf numFmtId="0" fontId="14" fillId="0" borderId="8" xfId="0" applyFont="1" applyFill="1" applyBorder="1"/>
    <xf numFmtId="165" fontId="25" fillId="0" borderId="26" xfId="0" applyNumberFormat="1" applyFont="1" applyFill="1" applyBorder="1"/>
    <xf numFmtId="0" fontId="25" fillId="0" borderId="8" xfId="0" applyFont="1" applyFill="1" applyBorder="1" applyAlignment="1">
      <alignment horizontal="center"/>
    </xf>
    <xf numFmtId="0" fontId="33" fillId="0" borderId="8" xfId="0" applyFont="1" applyFill="1" applyBorder="1"/>
    <xf numFmtId="0" fontId="33" fillId="0" borderId="8" xfId="0" applyFont="1" applyFill="1" applyBorder="1" applyAlignment="1">
      <alignment horizontal="center"/>
    </xf>
    <xf numFmtId="168" fontId="12" fillId="0" borderId="26" xfId="0" applyNumberFormat="1" applyFont="1" applyFill="1" applyBorder="1"/>
    <xf numFmtId="169" fontId="12" fillId="0" borderId="26" xfId="0" applyNumberFormat="1" applyFont="1" applyFill="1" applyBorder="1" applyAlignment="1">
      <alignment horizontal="center"/>
    </xf>
    <xf numFmtId="4" fontId="12" fillId="0" borderId="26" xfId="0" applyNumberFormat="1" applyFont="1" applyFill="1" applyBorder="1" applyAlignment="1">
      <alignment horizontal="right"/>
    </xf>
    <xf numFmtId="165" fontId="12" fillId="0" borderId="26" xfId="0" applyNumberFormat="1" applyFont="1" applyFill="1" applyBorder="1" applyAlignment="1">
      <alignment horizontal="center"/>
    </xf>
    <xf numFmtId="165" fontId="12" fillId="0" borderId="26" xfId="0" applyNumberFormat="1" applyFont="1" applyFill="1" applyBorder="1"/>
    <xf numFmtId="166" fontId="12" fillId="0" borderId="26" xfId="0" applyNumberFormat="1" applyFont="1" applyFill="1" applyBorder="1"/>
    <xf numFmtId="165" fontId="25" fillId="19" borderId="19" xfId="0" applyNumberFormat="1" applyFont="1" applyFill="1" applyBorder="1"/>
    <xf numFmtId="165" fontId="25" fillId="20" borderId="19" xfId="0" applyNumberFormat="1" applyFont="1" applyFill="1" applyBorder="1"/>
    <xf numFmtId="166" fontId="25" fillId="0" borderId="20" xfId="0" applyNumberFormat="1" applyFont="1" applyBorder="1"/>
    <xf numFmtId="166" fontId="25" fillId="0" borderId="25" xfId="0" applyNumberFormat="1" applyFont="1" applyFill="1" applyBorder="1"/>
    <xf numFmtId="166" fontId="25" fillId="0" borderId="25" xfId="0" applyNumberFormat="1" applyFont="1" applyBorder="1"/>
    <xf numFmtId="4" fontId="25" fillId="7" borderId="4" xfId="0" applyNumberFormat="1" applyFont="1" applyFill="1" applyBorder="1"/>
    <xf numFmtId="0" fontId="25" fillId="4" borderId="26" xfId="0" applyFont="1" applyFill="1" applyBorder="1"/>
    <xf numFmtId="0" fontId="25" fillId="5" borderId="26" xfId="0" applyFont="1" applyFill="1" applyBorder="1" applyAlignment="1">
      <alignment horizontal="center"/>
    </xf>
    <xf numFmtId="165" fontId="25" fillId="5" borderId="26" xfId="0" applyNumberFormat="1" applyFont="1" applyFill="1" applyBorder="1"/>
    <xf numFmtId="0" fontId="12" fillId="4" borderId="27" xfId="0" applyFont="1" applyFill="1" applyBorder="1"/>
    <xf numFmtId="0" fontId="12" fillId="5" borderId="27" xfId="0" applyFont="1" applyFill="1" applyBorder="1" applyAlignment="1">
      <alignment horizontal="center"/>
    </xf>
    <xf numFmtId="165" fontId="12" fillId="5" borderId="27" xfId="0" applyNumberFormat="1" applyFont="1" applyFill="1" applyBorder="1"/>
    <xf numFmtId="4" fontId="12" fillId="7" borderId="4" xfId="0" applyNumberFormat="1" applyFont="1" applyFill="1" applyBorder="1"/>
    <xf numFmtId="0" fontId="25" fillId="0" borderId="26" xfId="0" applyFont="1" applyBorder="1"/>
    <xf numFmtId="0" fontId="25" fillId="10" borderId="26" xfId="0" applyFont="1" applyFill="1" applyBorder="1"/>
    <xf numFmtId="0" fontId="25" fillId="0" borderId="0" xfId="0" applyFont="1"/>
    <xf numFmtId="0" fontId="14" fillId="2" borderId="0" xfId="0" applyFont="1" applyFill="1" applyBorder="1"/>
    <xf numFmtId="0" fontId="23" fillId="0" borderId="8" xfId="0" applyFont="1" applyBorder="1" applyAlignment="1">
      <alignment horizontal="center"/>
    </xf>
    <xf numFmtId="165" fontId="12" fillId="5" borderId="26" xfId="0" applyNumberFormat="1" applyFont="1" applyFill="1" applyBorder="1"/>
    <xf numFmtId="169" fontId="25" fillId="2" borderId="25" xfId="0" applyNumberFormat="1" applyFont="1" applyFill="1" applyBorder="1" applyAlignment="1">
      <alignment horizontal="right"/>
    </xf>
    <xf numFmtId="169" fontId="30" fillId="0" borderId="25" xfId="0" applyNumberFormat="1" applyFont="1" applyFill="1" applyBorder="1" applyAlignment="1">
      <alignment horizontal="right"/>
    </xf>
    <xf numFmtId="166" fontId="25" fillId="11" borderId="14" xfId="0" applyNumberFormat="1" applyFont="1" applyFill="1" applyBorder="1" applyAlignment="1">
      <alignment horizontal="right"/>
    </xf>
    <xf numFmtId="166" fontId="30" fillId="0" borderId="14" xfId="0" applyNumberFormat="1" applyFont="1" applyFill="1" applyBorder="1" applyAlignment="1">
      <alignment horizontal="right"/>
    </xf>
    <xf numFmtId="165" fontId="25" fillId="0" borderId="13" xfId="0" applyNumberFormat="1" applyFont="1" applyFill="1" applyBorder="1" applyAlignment="1">
      <alignment horizontal="right"/>
    </xf>
    <xf numFmtId="165" fontId="25" fillId="9" borderId="26" xfId="0" applyNumberFormat="1" applyFont="1" applyFill="1" applyBorder="1" applyAlignment="1">
      <alignment horizontal="right"/>
    </xf>
    <xf numFmtId="0" fontId="26" fillId="10" borderId="7" xfId="0" applyFont="1" applyFill="1" applyBorder="1" applyAlignment="1">
      <alignment horizontal="center"/>
    </xf>
    <xf numFmtId="0" fontId="25" fillId="0" borderId="0" xfId="0" applyFont="1"/>
    <xf numFmtId="16" fontId="12" fillId="0" borderId="26" xfId="0" applyNumberFormat="1" applyFont="1" applyFill="1" applyBorder="1"/>
    <xf numFmtId="14" fontId="12" fillId="0" borderId="26" xfId="0" applyNumberFormat="1" applyFont="1" applyFill="1" applyBorder="1"/>
    <xf numFmtId="44" fontId="12" fillId="0" borderId="26" xfId="3" applyFont="1" applyFill="1" applyBorder="1"/>
    <xf numFmtId="4" fontId="25" fillId="10" borderId="7" xfId="0" applyNumberFormat="1" applyFont="1" applyFill="1" applyBorder="1" applyAlignment="1">
      <alignment horizontal="center"/>
    </xf>
    <xf numFmtId="0" fontId="25" fillId="0" borderId="0" xfId="0" applyFont="1"/>
    <xf numFmtId="4" fontId="25" fillId="0" borderId="12" xfId="0" applyNumberFormat="1" applyFont="1" applyFill="1" applyBorder="1" applyAlignment="1">
      <alignment horizontal="center"/>
    </xf>
    <xf numFmtId="0" fontId="25" fillId="0" borderId="21" xfId="0" applyFont="1" applyFill="1" applyBorder="1"/>
    <xf numFmtId="0" fontId="25" fillId="0" borderId="19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4" fontId="12" fillId="10" borderId="26" xfId="0" applyNumberFormat="1" applyFont="1" applyFill="1" applyBorder="1" applyAlignment="1">
      <alignment horizontal="center"/>
    </xf>
    <xf numFmtId="49" fontId="12" fillId="10" borderId="26" xfId="0" applyNumberFormat="1" applyFont="1" applyFill="1" applyBorder="1"/>
    <xf numFmtId="0" fontId="25" fillId="10" borderId="7" xfId="0" applyFont="1" applyFill="1" applyBorder="1"/>
    <xf numFmtId="14" fontId="25" fillId="10" borderId="7" xfId="0" applyNumberFormat="1" applyFont="1" applyFill="1" applyBorder="1"/>
    <xf numFmtId="169" fontId="25" fillId="10" borderId="25" xfId="0" applyNumberFormat="1" applyFont="1" applyFill="1" applyBorder="1" applyAlignment="1">
      <alignment horizontal="right"/>
    </xf>
    <xf numFmtId="166" fontId="25" fillId="10" borderId="14" xfId="0" applyNumberFormat="1" applyFont="1" applyFill="1" applyBorder="1"/>
    <xf numFmtId="4" fontId="25" fillId="10" borderId="7" xfId="0" applyNumberFormat="1" applyFont="1" applyFill="1" applyBorder="1" applyAlignment="1">
      <alignment horizontal="right"/>
    </xf>
    <xf numFmtId="166" fontId="25" fillId="10" borderId="7" xfId="0" applyNumberFormat="1" applyFont="1" applyFill="1" applyBorder="1" applyAlignment="1">
      <alignment horizontal="right" vertical="center" wrapText="1"/>
    </xf>
    <xf numFmtId="166" fontId="25" fillId="10" borderId="7" xfId="0" applyNumberFormat="1" applyFont="1" applyFill="1" applyBorder="1"/>
    <xf numFmtId="165" fontId="25" fillId="10" borderId="7" xfId="0" applyNumberFormat="1" applyFont="1" applyFill="1" applyBorder="1"/>
    <xf numFmtId="166" fontId="25" fillId="10" borderId="7" xfId="0" applyNumberFormat="1" applyFont="1" applyFill="1" applyBorder="1" applyAlignment="1">
      <alignment horizontal="right"/>
    </xf>
    <xf numFmtId="164" fontId="25" fillId="10" borderId="7" xfId="0" applyNumberFormat="1" applyFont="1" applyFill="1" applyBorder="1" applyAlignment="1">
      <alignment horizontal="right"/>
    </xf>
    <xf numFmtId="164" fontId="25" fillId="10" borderId="14" xfId="0" applyNumberFormat="1" applyFont="1" applyFill="1" applyBorder="1" applyAlignment="1">
      <alignment horizontal="right"/>
    </xf>
    <xf numFmtId="168" fontId="25" fillId="10" borderId="7" xfId="0" applyNumberFormat="1" applyFont="1" applyFill="1" applyBorder="1" applyAlignment="1">
      <alignment horizontal="center"/>
    </xf>
    <xf numFmtId="169" fontId="25" fillId="10" borderId="25" xfId="0" applyNumberFormat="1" applyFont="1" applyFill="1" applyBorder="1" applyAlignment="1">
      <alignment horizontal="center"/>
    </xf>
    <xf numFmtId="166" fontId="25" fillId="10" borderId="14" xfId="0" applyNumberFormat="1" applyFont="1" applyFill="1" applyBorder="1" applyAlignment="1">
      <alignment horizontal="right"/>
    </xf>
    <xf numFmtId="4" fontId="25" fillId="10" borderId="14" xfId="0" applyNumberFormat="1" applyFont="1" applyFill="1" applyBorder="1" applyAlignment="1">
      <alignment horizontal="right"/>
    </xf>
    <xf numFmtId="0" fontId="25" fillId="10" borderId="7" xfId="0" applyFont="1" applyFill="1" applyBorder="1" applyAlignment="1">
      <alignment horizontal="center"/>
    </xf>
    <xf numFmtId="14" fontId="25" fillId="10" borderId="7" xfId="0" applyNumberFormat="1" applyFont="1" applyFill="1" applyBorder="1" applyAlignment="1">
      <alignment horizontal="right"/>
    </xf>
    <xf numFmtId="169" fontId="25" fillId="10" borderId="25" xfId="0" applyNumberFormat="1" applyFont="1" applyFill="1" applyBorder="1"/>
    <xf numFmtId="165" fontId="25" fillId="10" borderId="7" xfId="0" applyNumberFormat="1" applyFont="1" applyFill="1" applyBorder="1" applyAlignment="1">
      <alignment horizontal="center"/>
    </xf>
    <xf numFmtId="166" fontId="25" fillId="21" borderId="7" xfId="0" applyNumberFormat="1" applyFont="1" applyFill="1" applyBorder="1" applyAlignment="1">
      <alignment horizontal="right"/>
    </xf>
    <xf numFmtId="164" fontId="25" fillId="21" borderId="7" xfId="0" applyNumberFormat="1" applyFont="1" applyFill="1" applyBorder="1" applyAlignment="1">
      <alignment horizontal="right"/>
    </xf>
    <xf numFmtId="0" fontId="25" fillId="10" borderId="19" xfId="0" applyFont="1" applyFill="1" applyBorder="1"/>
    <xf numFmtId="169" fontId="25" fillId="10" borderId="19" xfId="0" applyNumberFormat="1" applyFont="1" applyFill="1" applyBorder="1" applyAlignment="1">
      <alignment horizontal="center"/>
    </xf>
    <xf numFmtId="4" fontId="25" fillId="10" borderId="7" xfId="0" applyNumberFormat="1" applyFont="1" applyFill="1" applyBorder="1" applyAlignment="1">
      <alignment horizontal="center" vertical="center"/>
    </xf>
    <xf numFmtId="165" fontId="25" fillId="10" borderId="26" xfId="0" applyNumberFormat="1" applyFont="1" applyFill="1" applyBorder="1"/>
    <xf numFmtId="165" fontId="25" fillId="10" borderId="19" xfId="0" applyNumberFormat="1" applyFont="1" applyFill="1" applyBorder="1"/>
    <xf numFmtId="166" fontId="25" fillId="10" borderId="20" xfId="0" applyNumberFormat="1" applyFont="1" applyFill="1" applyBorder="1"/>
    <xf numFmtId="168" fontId="25" fillId="10" borderId="7" xfId="0" applyNumberFormat="1" applyFont="1" applyFill="1" applyBorder="1" applyAlignment="1">
      <alignment horizontal="center" vertical="center"/>
    </xf>
    <xf numFmtId="169" fontId="25" fillId="10" borderId="7" xfId="0" applyNumberFormat="1" applyFont="1" applyFill="1" applyBorder="1" applyAlignment="1">
      <alignment horizontal="right"/>
    </xf>
    <xf numFmtId="0" fontId="25" fillId="10" borderId="7" xfId="0" applyFont="1" applyFill="1" applyBorder="1" applyAlignment="1">
      <alignment horizontal="center" wrapText="1"/>
    </xf>
    <xf numFmtId="165" fontId="25" fillId="10" borderId="19" xfId="0" applyNumberFormat="1" applyFont="1" applyFill="1" applyBorder="1" applyAlignment="1">
      <alignment horizontal="center"/>
    </xf>
    <xf numFmtId="165" fontId="25" fillId="10" borderId="12" xfId="0" applyNumberFormat="1" applyFont="1" applyFill="1" applyBorder="1"/>
    <xf numFmtId="0" fontId="25" fillId="10" borderId="12" xfId="0" applyFont="1" applyFill="1" applyBorder="1"/>
    <xf numFmtId="0" fontId="25" fillId="10" borderId="25" xfId="0" applyFont="1" applyFill="1" applyBorder="1"/>
    <xf numFmtId="169" fontId="25" fillId="10" borderId="7" xfId="0" applyNumberFormat="1" applyFont="1" applyFill="1" applyBorder="1" applyAlignment="1">
      <alignment horizontal="center"/>
    </xf>
    <xf numFmtId="166" fontId="25" fillId="10" borderId="25" xfId="0" applyNumberFormat="1" applyFont="1" applyFill="1" applyBorder="1"/>
    <xf numFmtId="165" fontId="25" fillId="21" borderId="26" xfId="0" applyNumberFormat="1" applyFont="1" applyFill="1" applyBorder="1"/>
    <xf numFmtId="168" fontId="12" fillId="10" borderId="26" xfId="0" applyNumberFormat="1" applyFont="1" applyFill="1" applyBorder="1"/>
    <xf numFmtId="169" fontId="12" fillId="10" borderId="26" xfId="0" applyNumberFormat="1" applyFont="1" applyFill="1" applyBorder="1" applyAlignment="1">
      <alignment horizontal="center"/>
    </xf>
    <xf numFmtId="4" fontId="12" fillId="10" borderId="26" xfId="0" applyNumberFormat="1" applyFont="1" applyFill="1" applyBorder="1" applyAlignment="1">
      <alignment horizontal="right"/>
    </xf>
    <xf numFmtId="165" fontId="12" fillId="10" borderId="26" xfId="0" applyNumberFormat="1" applyFont="1" applyFill="1" applyBorder="1" applyAlignment="1">
      <alignment horizontal="center"/>
    </xf>
    <xf numFmtId="165" fontId="12" fillId="10" borderId="26" xfId="0" applyNumberFormat="1" applyFont="1" applyFill="1" applyBorder="1"/>
    <xf numFmtId="165" fontId="12" fillId="10" borderId="26" xfId="0" applyNumberFormat="1" applyFont="1" applyFill="1" applyBorder="1" applyAlignment="1">
      <alignment horizontal="right" shrinkToFit="1"/>
    </xf>
    <xf numFmtId="166" fontId="12" fillId="10" borderId="26" xfId="0" applyNumberFormat="1" applyFont="1" applyFill="1" applyBorder="1"/>
    <xf numFmtId="165" fontId="12" fillId="10" borderId="27" xfId="0" applyNumberFormat="1" applyFont="1" applyFill="1" applyBorder="1"/>
    <xf numFmtId="49" fontId="29" fillId="10" borderId="26" xfId="0" applyNumberFormat="1" applyFont="1" applyFill="1" applyBorder="1"/>
    <xf numFmtId="170" fontId="29" fillId="10" borderId="26" xfId="0" applyNumberFormat="1" applyFont="1" applyFill="1" applyBorder="1"/>
    <xf numFmtId="171" fontId="29" fillId="10" borderId="26" xfId="0" applyNumberFormat="1" applyFont="1" applyFill="1" applyBorder="1" applyAlignment="1">
      <alignment horizontal="center"/>
    </xf>
    <xf numFmtId="4" fontId="29" fillId="10" borderId="26" xfId="0" applyNumberFormat="1" applyFont="1" applyFill="1" applyBorder="1" applyAlignment="1">
      <alignment horizontal="right"/>
    </xf>
    <xf numFmtId="0" fontId="12" fillId="10" borderId="26" xfId="0" applyFont="1" applyFill="1" applyBorder="1"/>
    <xf numFmtId="165" fontId="12" fillId="10" borderId="26" xfId="0" applyNumberFormat="1" applyFont="1" applyFill="1" applyBorder="1" applyAlignment="1">
      <alignment vertical="center"/>
    </xf>
    <xf numFmtId="165" fontId="12" fillId="10" borderId="26" xfId="0" applyNumberFormat="1" applyFont="1" applyFill="1" applyBorder="1" applyAlignment="1">
      <alignment horizontal="center" wrapText="1"/>
    </xf>
    <xf numFmtId="0" fontId="25" fillId="0" borderId="0" xfId="0" applyFont="1"/>
    <xf numFmtId="4" fontId="25" fillId="11" borderId="19" xfId="0" applyNumberFormat="1" applyFont="1" applyFill="1" applyBorder="1" applyAlignment="1">
      <alignment horizontal="center"/>
    </xf>
    <xf numFmtId="165" fontId="25" fillId="21" borderId="20" xfId="0" applyNumberFormat="1" applyFont="1" applyFill="1" applyBorder="1" applyAlignment="1">
      <alignment horizontal="center"/>
    </xf>
    <xf numFmtId="165" fontId="25" fillId="0" borderId="12" xfId="0" applyNumberFormat="1" applyFont="1" applyFill="1" applyBorder="1"/>
    <xf numFmtId="165" fontId="25" fillId="0" borderId="12" xfId="0" applyNumberFormat="1" applyFont="1" applyBorder="1"/>
    <xf numFmtId="165" fontId="12" fillId="0" borderId="27" xfId="0" applyNumberFormat="1" applyFont="1" applyFill="1" applyBorder="1"/>
    <xf numFmtId="0" fontId="26" fillId="22" borderId="7" xfId="0" applyFont="1" applyFill="1" applyBorder="1" applyAlignment="1">
      <alignment horizontal="center"/>
    </xf>
    <xf numFmtId="0" fontId="4" fillId="0" borderId="0" xfId="0" applyFont="1"/>
    <xf numFmtId="166" fontId="25" fillId="0" borderId="14" xfId="0" applyNumberFormat="1" applyFont="1" applyFill="1" applyBorder="1" applyAlignment="1">
      <alignment horizontal="right"/>
    </xf>
    <xf numFmtId="0" fontId="35" fillId="10" borderId="7" xfId="0" applyFont="1" applyFill="1" applyBorder="1"/>
    <xf numFmtId="0" fontId="36" fillId="0" borderId="7" xfId="0" applyFont="1" applyFill="1" applyBorder="1"/>
    <xf numFmtId="165" fontId="25" fillId="0" borderId="0" xfId="0" applyNumberFormat="1" applyFont="1" applyFill="1" applyBorder="1" applyAlignment="1">
      <alignment horizontal="center" wrapText="1"/>
    </xf>
    <xf numFmtId="0" fontId="25" fillId="0" borderId="0" xfId="0" applyFont="1"/>
    <xf numFmtId="0" fontId="3" fillId="0" borderId="0" xfId="0" applyFont="1"/>
    <xf numFmtId="4" fontId="25" fillId="14" borderId="7" xfId="0" applyNumberFormat="1" applyFont="1" applyFill="1" applyBorder="1" applyAlignment="1">
      <alignment horizontal="right"/>
    </xf>
    <xf numFmtId="44" fontId="25" fillId="0" borderId="8" xfId="3" applyFont="1" applyFill="1" applyBorder="1"/>
    <xf numFmtId="44" fontId="25" fillId="0" borderId="0" xfId="3" applyFont="1"/>
    <xf numFmtId="49" fontId="29" fillId="0" borderId="26" xfId="0" applyNumberFormat="1" applyFont="1" applyFill="1" applyBorder="1"/>
    <xf numFmtId="2" fontId="25" fillId="10" borderId="26" xfId="0" applyNumberFormat="1" applyFont="1" applyFill="1" applyBorder="1"/>
    <xf numFmtId="2" fontId="25" fillId="4" borderId="19" xfId="0" applyNumberFormat="1" applyFont="1" applyFill="1" applyBorder="1" applyAlignment="1">
      <alignment horizontal="center" wrapText="1"/>
    </xf>
    <xf numFmtId="2" fontId="25" fillId="0" borderId="26" xfId="0" applyNumberFormat="1" applyFont="1" applyBorder="1"/>
    <xf numFmtId="44" fontId="25" fillId="0" borderId="12" xfId="3" applyFont="1" applyFill="1" applyBorder="1"/>
    <xf numFmtId="165" fontId="25" fillId="0" borderId="3" xfId="0" applyNumberFormat="1" applyFont="1" applyFill="1" applyBorder="1" applyAlignment="1">
      <alignment horizontal="right" shrinkToFit="1"/>
    </xf>
    <xf numFmtId="10" fontId="25" fillId="0" borderId="26" xfId="0" applyNumberFormat="1" applyFont="1" applyFill="1" applyBorder="1"/>
    <xf numFmtId="0" fontId="2" fillId="0" borderId="0" xfId="0" applyFont="1"/>
    <xf numFmtId="4" fontId="25" fillId="23" borderId="7" xfId="0" applyNumberFormat="1" applyFont="1" applyFill="1" applyBorder="1" applyAlignment="1">
      <alignment horizontal="center"/>
    </xf>
    <xf numFmtId="4" fontId="30" fillId="10" borderId="7" xfId="0" applyNumberFormat="1" applyFont="1" applyFill="1" applyBorder="1" applyAlignment="1">
      <alignment horizontal="right"/>
    </xf>
    <xf numFmtId="4" fontId="25" fillId="23" borderId="7" xfId="0" applyNumberFormat="1" applyFont="1" applyFill="1" applyBorder="1" applyAlignment="1">
      <alignment horizontal="right"/>
    </xf>
    <xf numFmtId="0" fontId="25" fillId="24" borderId="19" xfId="0" applyFont="1" applyFill="1" applyBorder="1" applyAlignment="1">
      <alignment horizontal="center"/>
    </xf>
    <xf numFmtId="165" fontId="25" fillId="23" borderId="19" xfId="0" applyNumberFormat="1" applyFont="1" applyFill="1" applyBorder="1"/>
    <xf numFmtId="0" fontId="12" fillId="24" borderId="26" xfId="0" applyFont="1" applyFill="1" applyBorder="1" applyAlignment="1">
      <alignment horizontal="center"/>
    </xf>
    <xf numFmtId="0" fontId="25" fillId="24" borderId="19" xfId="0" applyFont="1" applyFill="1" applyBorder="1" applyAlignment="1">
      <alignment horizontal="center" wrapText="1"/>
    </xf>
    <xf numFmtId="166" fontId="25" fillId="0" borderId="7" xfId="0" applyNumberFormat="1" applyFont="1" applyFill="1" applyBorder="1" applyAlignment="1">
      <alignment horizontal="right"/>
    </xf>
    <xf numFmtId="49" fontId="12" fillId="25" borderId="26" xfId="0" applyNumberFormat="1" applyFont="1" applyFill="1" applyBorder="1"/>
    <xf numFmtId="0" fontId="25" fillId="25" borderId="19" xfId="0" applyFont="1" applyFill="1" applyBorder="1"/>
    <xf numFmtId="4" fontId="25" fillId="26" borderId="19" xfId="0" applyNumberFormat="1" applyFont="1" applyFill="1" applyBorder="1" applyAlignment="1">
      <alignment horizontal="center"/>
    </xf>
    <xf numFmtId="49" fontId="29" fillId="25" borderId="26" xfId="0" applyNumberFormat="1" applyFont="1" applyFill="1" applyBorder="1"/>
    <xf numFmtId="0" fontId="25" fillId="25" borderId="7" xfId="0" applyFont="1" applyFill="1" applyBorder="1"/>
    <xf numFmtId="0" fontId="12" fillId="25" borderId="26" xfId="0" applyFont="1" applyFill="1" applyBorder="1"/>
    <xf numFmtId="0" fontId="1" fillId="0" borderId="0" xfId="0" applyFont="1"/>
    <xf numFmtId="4" fontId="12" fillId="14" borderId="26" xfId="0" applyNumberFormat="1" applyFont="1" applyFill="1" applyBorder="1" applyAlignment="1">
      <alignment horizontal="center"/>
    </xf>
    <xf numFmtId="0" fontId="13" fillId="2" borderId="9" xfId="0" applyFont="1" applyFill="1" applyBorder="1" applyAlignment="1">
      <alignment horizontal="right"/>
    </xf>
    <xf numFmtId="0" fontId="6" fillId="0" borderId="11" xfId="0" applyFont="1" applyBorder="1"/>
    <xf numFmtId="0" fontId="5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15" fillId="0" borderId="9" xfId="0" applyFont="1" applyBorder="1" applyAlignment="1">
      <alignment horizontal="center"/>
    </xf>
    <xf numFmtId="0" fontId="6" fillId="0" borderId="10" xfId="0" applyFont="1" applyBorder="1"/>
    <xf numFmtId="0" fontId="19" fillId="0" borderId="12" xfId="0" applyFont="1" applyBorder="1" applyAlignment="1">
      <alignment horizontal="center"/>
    </xf>
    <xf numFmtId="0" fontId="6" fillId="0" borderId="13" xfId="0" applyFont="1" applyBorder="1"/>
    <xf numFmtId="0" fontId="13" fillId="2" borderId="25" xfId="0" applyFont="1" applyFill="1" applyBorder="1" applyAlignment="1">
      <alignment horizontal="right"/>
    </xf>
    <xf numFmtId="0" fontId="13" fillId="2" borderId="14" xfId="0" applyFont="1" applyFill="1" applyBorder="1" applyAlignment="1">
      <alignment horizontal="right"/>
    </xf>
    <xf numFmtId="0" fontId="27" fillId="0" borderId="0" xfId="0" applyFont="1" applyAlignment="1">
      <alignment horizontal="center"/>
    </xf>
    <xf numFmtId="0" fontId="25" fillId="0" borderId="0" xfId="0" applyFont="1"/>
    <xf numFmtId="0" fontId="25" fillId="0" borderId="9" xfId="0" applyFont="1" applyBorder="1" applyAlignment="1">
      <alignment horizontal="center"/>
    </xf>
    <xf numFmtId="0" fontId="30" fillId="0" borderId="10" xfId="0" applyFont="1" applyBorder="1"/>
    <xf numFmtId="0" fontId="30" fillId="0" borderId="24" xfId="0" applyFont="1" applyBorder="1"/>
    <xf numFmtId="0" fontId="30" fillId="0" borderId="11" xfId="0" applyFont="1" applyBorder="1"/>
    <xf numFmtId="0" fontId="25" fillId="0" borderId="0" xfId="0" applyFont="1" applyAlignment="1">
      <alignment horizontal="left"/>
    </xf>
    <xf numFmtId="14" fontId="25" fillId="0" borderId="0" xfId="0" applyNumberFormat="1" applyFont="1" applyAlignment="1">
      <alignment horizontal="center"/>
    </xf>
    <xf numFmtId="0" fontId="27" fillId="4" borderId="15" xfId="0" applyFont="1" applyFill="1" applyBorder="1" applyAlignment="1">
      <alignment horizontal="center"/>
    </xf>
    <xf numFmtId="0" fontId="30" fillId="0" borderId="16" xfId="0" applyFont="1" applyBorder="1"/>
    <xf numFmtId="0" fontId="30" fillId="0" borderId="17" xfId="0" applyFont="1" applyBorder="1"/>
    <xf numFmtId="0" fontId="27" fillId="5" borderId="9" xfId="0" applyFont="1" applyFill="1" applyBorder="1" applyAlignment="1">
      <alignment horizontal="center"/>
    </xf>
    <xf numFmtId="0" fontId="27" fillId="5" borderId="24" xfId="0" applyFont="1" applyFill="1" applyBorder="1" applyAlignment="1">
      <alignment horizontal="center"/>
    </xf>
    <xf numFmtId="0" fontId="33" fillId="0" borderId="8" xfId="0" applyFont="1" applyFill="1" applyBorder="1" applyAlignment="1">
      <alignment horizontal="left"/>
    </xf>
    <xf numFmtId="0" fontId="27" fillId="4" borderId="22" xfId="0" applyFont="1" applyFill="1" applyBorder="1" applyAlignment="1">
      <alignment horizontal="center"/>
    </xf>
    <xf numFmtId="0" fontId="27" fillId="4" borderId="22" xfId="0" applyFont="1" applyFill="1" applyBorder="1"/>
    <xf numFmtId="0" fontId="27" fillId="4" borderId="16" xfId="0" applyFont="1" applyFill="1" applyBorder="1"/>
    <xf numFmtId="0" fontId="33" fillId="0" borderId="0" xfId="0" applyFont="1" applyAlignment="1">
      <alignment horizontal="left"/>
    </xf>
    <xf numFmtId="0" fontId="25" fillId="10" borderId="26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29" fillId="0" borderId="26" xfId="0" applyFont="1" applyBorder="1"/>
    <xf numFmtId="0" fontId="13" fillId="4" borderId="26" xfId="0" applyFont="1" applyFill="1" applyBorder="1"/>
    <xf numFmtId="0" fontId="31" fillId="0" borderId="0" xfId="0" applyFont="1" applyAlignment="1">
      <alignment horizontal="left"/>
    </xf>
  </cellXfs>
  <cellStyles count="4">
    <cellStyle name="Moeda" xfId="3" builtinId="4"/>
    <cellStyle name="Normal" xfId="0" builtinId="0"/>
    <cellStyle name="Normal 3" xfId="2"/>
    <cellStyle name="Vírgula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015"/>
  <sheetViews>
    <sheetView topLeftCell="B19" workbookViewId="0">
      <selection activeCell="E25" sqref="E25"/>
    </sheetView>
  </sheetViews>
  <sheetFormatPr defaultColWidth="14.42578125" defaultRowHeight="15" customHeight="1"/>
  <cols>
    <col min="1" max="1" width="6.5703125" customWidth="1"/>
    <col min="2" max="2" width="4.28515625" customWidth="1"/>
    <col min="3" max="3" width="41" customWidth="1"/>
    <col min="4" max="4" width="12.5703125" customWidth="1"/>
    <col min="5" max="5" width="11.85546875" customWidth="1"/>
    <col min="6" max="6" width="16.7109375" customWidth="1"/>
    <col min="7" max="7" width="13" customWidth="1"/>
    <col min="8" max="8" width="16.140625" customWidth="1"/>
    <col min="9" max="9" width="35" customWidth="1"/>
    <col min="10" max="10" width="10.28515625" customWidth="1"/>
    <col min="11" max="11" width="2" customWidth="1"/>
    <col min="12" max="12" width="15.42578125" customWidth="1"/>
    <col min="13" max="13" width="9.28515625" customWidth="1"/>
    <col min="14" max="14" width="11.5703125" customWidth="1"/>
    <col min="15" max="15" width="11.42578125" customWidth="1"/>
    <col min="16" max="16" width="9.28515625" customWidth="1"/>
    <col min="17" max="17" width="16.28515625" customWidth="1"/>
    <col min="18" max="28" width="8.7109375" customWidth="1"/>
  </cols>
  <sheetData>
    <row r="1" spans="2:28">
      <c r="B1" s="330" t="s">
        <v>0</v>
      </c>
      <c r="C1" s="331"/>
      <c r="D1" s="331"/>
      <c r="E1" s="331"/>
      <c r="F1" s="331"/>
      <c r="G1" s="331"/>
      <c r="H1" s="332"/>
      <c r="I1" s="1"/>
    </row>
    <row r="2" spans="2:28" ht="20.25" customHeight="1">
      <c r="B2" s="333"/>
      <c r="C2" s="334"/>
      <c r="D2" s="334"/>
      <c r="E2" s="334"/>
      <c r="F2" s="334"/>
      <c r="G2" s="334"/>
      <c r="H2" s="335"/>
      <c r="I2" s="1"/>
    </row>
    <row r="3" spans="2:28" ht="51.75" customHeight="1">
      <c r="B3" s="2" t="s">
        <v>1</v>
      </c>
      <c r="C3" s="3" t="s">
        <v>2</v>
      </c>
      <c r="D3" s="4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6"/>
    </row>
    <row r="4" spans="2:28" ht="18.75">
      <c r="B4" s="7">
        <v>1</v>
      </c>
      <c r="C4" s="297" t="s">
        <v>71</v>
      </c>
      <c r="D4" s="9"/>
      <c r="E4" s="10"/>
      <c r="F4" s="18"/>
      <c r="G4" s="10">
        <v>57</v>
      </c>
      <c r="H4" s="11">
        <f t="shared" ref="H4:H15" si="0">SUM(D4:G4)</f>
        <v>57</v>
      </c>
      <c r="I4" s="186" t="s">
        <v>67</v>
      </c>
      <c r="J4" s="13"/>
      <c r="K4" s="336"/>
      <c r="L4" s="337"/>
      <c r="M4" s="337"/>
      <c r="N4" s="329"/>
      <c r="O4" s="13"/>
      <c r="P4" s="14"/>
      <c r="Q4" s="14"/>
      <c r="R4" s="15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2:28" ht="18.75">
      <c r="B5" s="7">
        <v>3</v>
      </c>
      <c r="C5" s="296" t="s">
        <v>30</v>
      </c>
      <c r="D5" s="9"/>
      <c r="E5" s="10"/>
      <c r="F5" s="37"/>
      <c r="G5" s="10"/>
      <c r="H5" s="11">
        <f t="shared" si="0"/>
        <v>0</v>
      </c>
      <c r="I5" s="186"/>
      <c r="J5" s="13"/>
      <c r="K5" s="16"/>
      <c r="L5" s="16"/>
      <c r="M5" s="16"/>
      <c r="N5" s="16"/>
      <c r="O5" s="13"/>
      <c r="P5" s="14"/>
      <c r="Q5" s="14"/>
      <c r="R5" s="15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18.75">
      <c r="B6" s="7">
        <v>4</v>
      </c>
      <c r="C6" s="296" t="s">
        <v>8</v>
      </c>
      <c r="D6" s="9"/>
      <c r="E6" s="10"/>
      <c r="F6" s="10"/>
      <c r="G6" s="10">
        <v>185</v>
      </c>
      <c r="H6" s="11">
        <f t="shared" si="0"/>
        <v>185</v>
      </c>
      <c r="I6" s="186" t="s">
        <v>67</v>
      </c>
      <c r="J6" s="13"/>
      <c r="K6" s="16"/>
      <c r="L6" s="16"/>
      <c r="M6" s="16"/>
      <c r="N6" s="16"/>
      <c r="O6" s="13"/>
      <c r="P6" s="14"/>
      <c r="Q6" s="14"/>
      <c r="R6" s="15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ht="18.75">
      <c r="B7" s="7">
        <v>5</v>
      </c>
      <c r="C7" s="296" t="s">
        <v>38</v>
      </c>
      <c r="D7" s="9"/>
      <c r="E7" s="10"/>
      <c r="F7" s="18"/>
      <c r="G7" s="10"/>
      <c r="H7" s="11">
        <f t="shared" si="0"/>
        <v>0</v>
      </c>
      <c r="I7" s="186"/>
      <c r="J7" s="13"/>
      <c r="K7" s="16"/>
      <c r="L7" s="16"/>
      <c r="M7" s="16"/>
      <c r="N7" s="16"/>
      <c r="O7" s="13"/>
      <c r="P7" s="14"/>
      <c r="Q7" s="14"/>
      <c r="R7" s="15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2:28" ht="18.75">
      <c r="B8" s="7">
        <v>6</v>
      </c>
      <c r="C8" s="296" t="s">
        <v>55</v>
      </c>
      <c r="D8" s="9"/>
      <c r="E8" s="10"/>
      <c r="F8" s="18"/>
      <c r="G8" s="10">
        <v>40</v>
      </c>
      <c r="H8" s="11">
        <f t="shared" si="0"/>
        <v>40</v>
      </c>
      <c r="I8" s="186" t="s">
        <v>77</v>
      </c>
      <c r="J8" s="13"/>
      <c r="K8" s="16"/>
      <c r="L8" s="16"/>
      <c r="M8" s="16"/>
      <c r="N8" s="16"/>
      <c r="O8" s="13"/>
      <c r="P8" s="14"/>
      <c r="Q8" s="14"/>
      <c r="R8" s="15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2:28" ht="18.75">
      <c r="B9" s="7">
        <v>7</v>
      </c>
      <c r="C9" s="296" t="s">
        <v>31</v>
      </c>
      <c r="D9" s="9"/>
      <c r="E9" s="10"/>
      <c r="F9" s="10"/>
      <c r="G9" s="10">
        <v>89</v>
      </c>
      <c r="H9" s="11">
        <f t="shared" si="0"/>
        <v>89</v>
      </c>
      <c r="I9" s="20" t="s">
        <v>67</v>
      </c>
      <c r="J9" s="13"/>
      <c r="K9" s="16"/>
      <c r="L9" s="16"/>
      <c r="M9" s="16"/>
      <c r="N9" s="16"/>
      <c r="O9" s="13"/>
      <c r="P9" s="14"/>
      <c r="Q9" s="14"/>
      <c r="R9" s="15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2:28" ht="18.75">
      <c r="B10" s="7">
        <v>8</v>
      </c>
      <c r="C10" s="296" t="s">
        <v>32</v>
      </c>
      <c r="D10" s="9"/>
      <c r="E10" s="10"/>
      <c r="F10" s="9"/>
      <c r="G10" s="10"/>
      <c r="H10" s="11">
        <f t="shared" si="0"/>
        <v>0</v>
      </c>
      <c r="I10" s="39"/>
      <c r="J10" s="38"/>
      <c r="K10" s="38"/>
      <c r="L10" s="16"/>
      <c r="M10" s="16"/>
      <c r="N10" s="16"/>
      <c r="O10" s="13"/>
      <c r="P10" s="14"/>
      <c r="Q10" s="14"/>
      <c r="R10" s="15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2:28" ht="18.75">
      <c r="B11" s="7">
        <v>9</v>
      </c>
      <c r="C11" s="296" t="s">
        <v>63</v>
      </c>
      <c r="D11" s="9"/>
      <c r="E11" s="9"/>
      <c r="F11" s="17"/>
      <c r="G11" s="9"/>
      <c r="H11" s="11">
        <f t="shared" si="0"/>
        <v>0</v>
      </c>
      <c r="M11" s="16"/>
      <c r="N11" s="16"/>
      <c r="O11" s="13"/>
      <c r="P11" s="14"/>
      <c r="Q11" s="14"/>
      <c r="R11" s="15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2:28" ht="18.75">
      <c r="B12" s="7">
        <v>10</v>
      </c>
      <c r="C12" s="296" t="s">
        <v>44</v>
      </c>
      <c r="D12" s="9">
        <v>844.08</v>
      </c>
      <c r="E12" s="10"/>
      <c r="F12" s="18"/>
      <c r="G12" s="10">
        <v>166.5</v>
      </c>
      <c r="H12" s="11">
        <f t="shared" si="0"/>
        <v>1010.58</v>
      </c>
      <c r="I12" s="326" t="s">
        <v>83</v>
      </c>
      <c r="M12" s="16"/>
      <c r="N12" s="16"/>
      <c r="O12" s="13"/>
      <c r="P12" s="14"/>
      <c r="Q12" s="14"/>
      <c r="R12" s="15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2:28" ht="18.75">
      <c r="B13" s="7">
        <v>11</v>
      </c>
      <c r="C13" s="297" t="s">
        <v>69</v>
      </c>
      <c r="D13" s="9"/>
      <c r="E13" s="10"/>
      <c r="F13" s="10"/>
      <c r="G13" s="10"/>
      <c r="H13" s="11">
        <f t="shared" si="0"/>
        <v>0</v>
      </c>
      <c r="M13" s="16"/>
      <c r="N13" s="16"/>
      <c r="O13" s="13"/>
      <c r="P13" s="14"/>
      <c r="Q13" s="14"/>
      <c r="R13" s="15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2:28" ht="18.75">
      <c r="B14" s="7"/>
      <c r="C14" s="148"/>
      <c r="D14" s="9"/>
      <c r="E14" s="10"/>
      <c r="F14" s="10"/>
      <c r="G14" s="10"/>
      <c r="H14" s="11">
        <f t="shared" si="0"/>
        <v>0</v>
      </c>
      <c r="M14" s="16"/>
      <c r="N14" s="16"/>
      <c r="O14" s="13"/>
      <c r="P14" s="14"/>
      <c r="Q14" s="14"/>
      <c r="R14" s="15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2:28" ht="18.75">
      <c r="B15" s="7"/>
      <c r="C15" s="8"/>
      <c r="D15" s="9"/>
      <c r="E15" s="10"/>
      <c r="F15" s="10"/>
      <c r="G15" s="10"/>
      <c r="H15" s="11">
        <f t="shared" si="0"/>
        <v>0</v>
      </c>
      <c r="M15" s="16"/>
      <c r="N15" s="16"/>
      <c r="O15" s="13"/>
      <c r="P15" s="14"/>
      <c r="Q15" s="14"/>
      <c r="R15" s="15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2:28" ht="18.75">
      <c r="B16" s="328" t="s">
        <v>9</v>
      </c>
      <c r="C16" s="329"/>
      <c r="D16" s="9">
        <f>SUM(D4:D14)</f>
        <v>844.08</v>
      </c>
      <c r="E16" s="9">
        <f>SUM(E4:E14)</f>
        <v>0</v>
      </c>
      <c r="F16" s="9">
        <f>SUM(F4:F14)</f>
        <v>0</v>
      </c>
      <c r="G16" s="9"/>
      <c r="H16" s="11">
        <f t="shared" ref="H16" si="1">SUM(D16:G16)</f>
        <v>844.08</v>
      </c>
      <c r="M16" s="16"/>
      <c r="N16" s="16"/>
      <c r="O16" s="13"/>
      <c r="P16" s="14"/>
      <c r="Q16" s="14"/>
      <c r="R16" s="15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2:17" ht="17.25" customHeight="1">
      <c r="B17" s="338" t="s">
        <v>1</v>
      </c>
      <c r="C17" s="21"/>
      <c r="D17" s="22"/>
      <c r="E17" s="22"/>
      <c r="F17" s="22"/>
      <c r="G17" s="22"/>
      <c r="H17" s="22"/>
      <c r="I17" s="23"/>
      <c r="J17" s="24"/>
      <c r="K17" s="14"/>
      <c r="L17" s="14"/>
      <c r="M17" s="14"/>
      <c r="N17" s="14"/>
      <c r="O17" s="25"/>
      <c r="P17" s="14"/>
      <c r="Q17" s="14"/>
    </row>
    <row r="18" spans="2:17" ht="47.25">
      <c r="B18" s="339"/>
      <c r="C18" s="26"/>
      <c r="D18" s="27" t="s">
        <v>3</v>
      </c>
      <c r="E18" s="5" t="s">
        <v>4</v>
      </c>
      <c r="F18" s="5" t="s">
        <v>5</v>
      </c>
      <c r="G18" s="5" t="s">
        <v>6</v>
      </c>
      <c r="H18" s="5" t="s">
        <v>7</v>
      </c>
      <c r="I18" s="23"/>
      <c r="J18" s="13"/>
      <c r="K18" s="13"/>
      <c r="L18" s="13"/>
      <c r="M18" s="13"/>
      <c r="N18" s="13"/>
      <c r="O18" s="13"/>
      <c r="P18" s="13"/>
      <c r="Q18" s="13"/>
    </row>
    <row r="19" spans="2:17" ht="18">
      <c r="B19" s="28">
        <v>1</v>
      </c>
      <c r="C19" s="140" t="s">
        <v>48</v>
      </c>
      <c r="D19" s="9"/>
      <c r="E19" s="10"/>
      <c r="F19" s="19"/>
      <c r="G19" s="10"/>
      <c r="H19" s="11">
        <f t="shared" ref="H19:H30" si="2">SUM(D19:G19)</f>
        <v>0</v>
      </c>
      <c r="I19" s="29"/>
      <c r="J19" s="13"/>
      <c r="K19" s="13"/>
      <c r="L19" s="13"/>
      <c r="M19" s="13"/>
      <c r="N19" s="13"/>
      <c r="O19" s="13"/>
      <c r="P19" s="13"/>
      <c r="Q19" s="13"/>
    </row>
    <row r="20" spans="2:17" ht="18">
      <c r="B20" s="28">
        <v>2</v>
      </c>
      <c r="C20" s="256" t="s">
        <v>66</v>
      </c>
      <c r="D20" s="9"/>
      <c r="E20" s="10"/>
      <c r="F20" s="19"/>
      <c r="G20" s="10"/>
      <c r="H20" s="11">
        <f t="shared" si="2"/>
        <v>0</v>
      </c>
      <c r="I20" s="213"/>
      <c r="J20" s="13"/>
      <c r="K20" s="13"/>
      <c r="L20" s="13"/>
      <c r="M20" s="13"/>
      <c r="N20" s="13"/>
      <c r="O20" s="13"/>
      <c r="P20" s="13"/>
      <c r="Q20" s="13"/>
    </row>
    <row r="21" spans="2:17" ht="15.75" customHeight="1">
      <c r="B21" s="28">
        <v>3</v>
      </c>
      <c r="C21" s="98" t="s">
        <v>60</v>
      </c>
      <c r="D21" s="9"/>
      <c r="E21" s="10"/>
      <c r="F21" s="19"/>
      <c r="G21" s="10">
        <v>56.5</v>
      </c>
      <c r="H21" s="11">
        <f t="shared" si="2"/>
        <v>56.5</v>
      </c>
      <c r="I21" s="214" t="s">
        <v>67</v>
      </c>
      <c r="J21" s="30"/>
      <c r="K21" s="31"/>
      <c r="L21" s="31"/>
      <c r="M21" s="13"/>
      <c r="N21" s="13"/>
      <c r="O21" s="13"/>
      <c r="P21" s="13"/>
      <c r="Q21" s="13"/>
    </row>
    <row r="22" spans="2:17" ht="16.5" customHeight="1">
      <c r="B22" s="28">
        <v>4</v>
      </c>
      <c r="C22" s="235" t="s">
        <v>39</v>
      </c>
      <c r="D22" s="9"/>
      <c r="E22" s="10"/>
      <c r="F22" s="10"/>
      <c r="G22" s="10"/>
      <c r="H22" s="11">
        <f t="shared" si="2"/>
        <v>0</v>
      </c>
      <c r="I22" s="12"/>
      <c r="J22" s="13"/>
      <c r="K22" s="13"/>
      <c r="L22" s="13"/>
      <c r="M22" s="13"/>
      <c r="N22" s="13"/>
      <c r="O22" s="13"/>
      <c r="P22" s="13"/>
      <c r="Q22" s="13"/>
    </row>
    <row r="23" spans="2:17" ht="16.5" customHeight="1">
      <c r="B23" s="28">
        <v>5</v>
      </c>
      <c r="C23" s="235" t="s">
        <v>40</v>
      </c>
      <c r="D23" s="9"/>
      <c r="E23" s="10"/>
      <c r="F23" s="19"/>
      <c r="G23" s="10"/>
      <c r="H23" s="11">
        <f t="shared" si="2"/>
        <v>0</v>
      </c>
      <c r="I23" s="12"/>
      <c r="J23" s="13"/>
      <c r="K23" s="13"/>
      <c r="L23" s="13"/>
      <c r="M23" s="13"/>
      <c r="N23" s="13"/>
      <c r="O23" s="13"/>
      <c r="P23" s="13"/>
      <c r="Q23" s="13"/>
    </row>
    <row r="24" spans="2:17" ht="16.5" customHeight="1">
      <c r="B24" s="28">
        <v>6</v>
      </c>
      <c r="C24" s="235" t="s">
        <v>62</v>
      </c>
      <c r="D24" s="9"/>
      <c r="E24" s="10"/>
      <c r="F24" s="19"/>
      <c r="G24" s="10"/>
      <c r="H24" s="11">
        <f t="shared" si="2"/>
        <v>0</v>
      </c>
      <c r="I24" s="32"/>
      <c r="J24" s="13"/>
      <c r="K24" s="13"/>
      <c r="L24" s="13"/>
      <c r="M24" s="13"/>
      <c r="N24" s="13"/>
      <c r="O24" s="13"/>
      <c r="P24" s="13"/>
      <c r="Q24" s="13"/>
    </row>
    <row r="25" spans="2:17" ht="16.5" customHeight="1">
      <c r="B25" s="28">
        <v>7</v>
      </c>
      <c r="C25" s="98" t="s">
        <v>56</v>
      </c>
      <c r="D25" s="9">
        <v>40</v>
      </c>
      <c r="E25" s="10"/>
      <c r="F25" s="19">
        <v>345</v>
      </c>
      <c r="G25" s="10">
        <v>219.5</v>
      </c>
      <c r="H25" s="11">
        <f t="shared" si="2"/>
        <v>604.5</v>
      </c>
      <c r="I25" s="32" t="s">
        <v>78</v>
      </c>
      <c r="J25" s="13"/>
      <c r="K25" s="13"/>
      <c r="L25" s="13"/>
      <c r="M25" s="13"/>
      <c r="N25" s="13"/>
      <c r="O25" s="13"/>
      <c r="P25" s="13"/>
      <c r="Q25" s="13"/>
    </row>
    <row r="26" spans="2:17" ht="16.5" customHeight="1">
      <c r="B26" s="28">
        <v>8</v>
      </c>
      <c r="C26" s="235" t="s">
        <v>68</v>
      </c>
      <c r="D26" s="9"/>
      <c r="E26" s="10"/>
      <c r="F26" s="18"/>
      <c r="G26" s="10">
        <v>50.5</v>
      </c>
      <c r="H26" s="11">
        <f t="shared" si="2"/>
        <v>50.5</v>
      </c>
      <c r="I26" s="32" t="s">
        <v>76</v>
      </c>
      <c r="J26" s="13"/>
      <c r="K26" s="13"/>
      <c r="L26" s="13"/>
      <c r="M26" s="13"/>
      <c r="N26" s="13"/>
      <c r="O26" s="13"/>
      <c r="P26" s="13"/>
      <c r="Q26" s="13"/>
    </row>
    <row r="27" spans="2:17" ht="16.5" customHeight="1">
      <c r="B27" s="28">
        <v>9</v>
      </c>
      <c r="C27" s="235" t="s">
        <v>74</v>
      </c>
      <c r="D27" s="9"/>
      <c r="E27" s="10"/>
      <c r="F27" s="18"/>
      <c r="G27" s="10"/>
      <c r="H27" s="11">
        <f t="shared" si="2"/>
        <v>0</v>
      </c>
      <c r="I27" s="32"/>
      <c r="J27" s="13"/>
      <c r="K27" s="13"/>
      <c r="L27" s="13"/>
      <c r="M27" s="13"/>
      <c r="N27" s="13"/>
      <c r="O27" s="13"/>
      <c r="P27" s="13"/>
      <c r="Q27" s="13"/>
    </row>
    <row r="28" spans="2:17" ht="16.5" customHeight="1">
      <c r="B28" s="28">
        <v>10</v>
      </c>
      <c r="C28" s="147"/>
      <c r="D28" s="9"/>
      <c r="E28" s="10"/>
      <c r="F28" s="19"/>
      <c r="G28" s="10"/>
      <c r="H28" s="11">
        <f t="shared" si="2"/>
        <v>0</v>
      </c>
      <c r="I28" s="32"/>
      <c r="J28" s="13"/>
      <c r="K28" s="13"/>
      <c r="L28" s="13"/>
      <c r="M28" s="13"/>
      <c r="N28" s="13"/>
      <c r="O28" s="13"/>
      <c r="P28" s="13"/>
      <c r="Q28" s="13"/>
    </row>
    <row r="29" spans="2:17" ht="16.5" customHeight="1">
      <c r="B29" s="28">
        <v>11</v>
      </c>
      <c r="C29" s="147"/>
      <c r="D29" s="9"/>
      <c r="E29" s="10"/>
      <c r="F29" s="19"/>
      <c r="G29" s="10"/>
      <c r="H29" s="11">
        <f t="shared" si="2"/>
        <v>0</v>
      </c>
      <c r="I29" s="32"/>
      <c r="J29" s="13"/>
      <c r="K29" s="13"/>
      <c r="L29" s="13"/>
      <c r="M29" s="13"/>
      <c r="N29" s="13"/>
      <c r="O29" s="13"/>
      <c r="P29" s="13"/>
      <c r="Q29" s="13"/>
    </row>
    <row r="30" spans="2:17" ht="16.5" customHeight="1">
      <c r="B30" s="28">
        <v>12</v>
      </c>
      <c r="C30" s="147"/>
      <c r="D30" s="9"/>
      <c r="E30" s="10"/>
      <c r="F30" s="19"/>
      <c r="G30" s="10"/>
      <c r="H30" s="11">
        <f t="shared" si="2"/>
        <v>0</v>
      </c>
      <c r="I30" s="12"/>
      <c r="J30" s="13"/>
      <c r="K30" s="13"/>
      <c r="L30" s="13"/>
      <c r="M30" s="13"/>
      <c r="N30" s="13"/>
      <c r="O30" s="13"/>
      <c r="P30" s="13"/>
      <c r="Q30" s="13"/>
    </row>
    <row r="31" spans="2:17" ht="15.75" customHeight="1">
      <c r="B31" s="340" t="s">
        <v>9</v>
      </c>
      <c r="C31" s="341"/>
      <c r="D31" s="33">
        <f>SUM(D19:D22)</f>
        <v>0</v>
      </c>
      <c r="E31" s="33">
        <f>SUM(E19:E22)</f>
        <v>0</v>
      </c>
      <c r="F31" s="33">
        <f>SUM(F19:F22)</f>
        <v>0</v>
      </c>
      <c r="G31" s="33">
        <f>SUM(G19:G22)</f>
        <v>56.5</v>
      </c>
      <c r="H31" s="34">
        <f>SUM(H19:H22)</f>
        <v>56.5</v>
      </c>
      <c r="I31" s="6"/>
    </row>
    <row r="32" spans="2:17" ht="15.75" customHeight="1">
      <c r="B32" s="1"/>
      <c r="C32" s="6"/>
      <c r="D32" s="6"/>
      <c r="E32" s="6"/>
      <c r="F32" s="6"/>
      <c r="G32" s="6"/>
      <c r="H32" s="6"/>
      <c r="I32" s="6"/>
    </row>
    <row r="33" spans="2:12" ht="47.25" customHeight="1">
      <c r="B33" s="35"/>
      <c r="C33" s="26"/>
      <c r="D33" s="27" t="s">
        <v>3</v>
      </c>
      <c r="E33" s="5" t="s">
        <v>4</v>
      </c>
      <c r="F33" s="5" t="s">
        <v>5</v>
      </c>
      <c r="G33" s="5" t="s">
        <v>6</v>
      </c>
      <c r="H33" s="5" t="s">
        <v>7</v>
      </c>
      <c r="L33" s="116"/>
    </row>
    <row r="34" spans="2:12" ht="15.75" customHeight="1">
      <c r="B34" s="28">
        <v>1</v>
      </c>
      <c r="C34" s="234" t="s">
        <v>43</v>
      </c>
      <c r="D34" s="9"/>
      <c r="E34" s="10"/>
      <c r="F34" s="18"/>
      <c r="G34" s="10"/>
      <c r="H34" s="11">
        <f t="shared" ref="H34:H54" si="3">SUM(D34:G34)</f>
        <v>0</v>
      </c>
      <c r="L34" s="117"/>
    </row>
    <row r="35" spans="2:12" ht="15.75" customHeight="1">
      <c r="B35" s="28">
        <v>2</v>
      </c>
      <c r="C35" s="143" t="s">
        <v>10</v>
      </c>
      <c r="D35" s="9"/>
      <c r="E35" s="10"/>
      <c r="F35" s="18"/>
      <c r="G35" s="10"/>
      <c r="H35" s="11">
        <f t="shared" si="3"/>
        <v>0</v>
      </c>
      <c r="L35" s="118"/>
    </row>
    <row r="36" spans="2:12" ht="15.75" customHeight="1">
      <c r="B36" s="28">
        <v>3</v>
      </c>
      <c r="C36" s="284" t="s">
        <v>11</v>
      </c>
      <c r="D36" s="9"/>
      <c r="E36" s="10"/>
      <c r="F36" s="10"/>
      <c r="G36" s="10"/>
      <c r="H36" s="11">
        <f t="shared" si="3"/>
        <v>0</v>
      </c>
      <c r="L36" s="119"/>
    </row>
    <row r="37" spans="2:12" ht="15.75" customHeight="1">
      <c r="B37" s="28">
        <v>4</v>
      </c>
      <c r="C37" s="143" t="s">
        <v>75</v>
      </c>
      <c r="D37" s="9"/>
      <c r="E37" s="10"/>
      <c r="F37" s="18"/>
      <c r="G37" s="10"/>
      <c r="H37" s="11">
        <f t="shared" si="3"/>
        <v>0</v>
      </c>
      <c r="L37" s="120"/>
    </row>
    <row r="38" spans="2:12" ht="15.75" customHeight="1">
      <c r="B38" s="28">
        <v>5</v>
      </c>
      <c r="C38" s="141" t="s">
        <v>51</v>
      </c>
      <c r="D38" s="9"/>
      <c r="E38" s="10"/>
      <c r="F38" s="18"/>
      <c r="G38" s="10"/>
      <c r="H38" s="11">
        <f t="shared" si="3"/>
        <v>0</v>
      </c>
      <c r="I38" s="300"/>
      <c r="L38" s="118"/>
    </row>
    <row r="39" spans="2:12" ht="15.75" customHeight="1">
      <c r="B39" s="28">
        <v>6</v>
      </c>
      <c r="C39" s="142" t="s">
        <v>46</v>
      </c>
      <c r="D39" s="9"/>
      <c r="E39" s="10"/>
      <c r="F39" s="18"/>
      <c r="G39" s="10"/>
      <c r="H39" s="11">
        <f t="shared" si="3"/>
        <v>0</v>
      </c>
      <c r="I39" s="311"/>
      <c r="L39" s="119"/>
    </row>
    <row r="40" spans="2:12" ht="15.75" customHeight="1">
      <c r="B40" s="28">
        <v>7</v>
      </c>
      <c r="C40" s="234" t="s">
        <v>59</v>
      </c>
      <c r="D40" s="9"/>
      <c r="E40" s="10"/>
      <c r="F40" s="18"/>
      <c r="G40" s="10"/>
      <c r="H40" s="11">
        <f t="shared" si="3"/>
        <v>0</v>
      </c>
      <c r="L40" s="119"/>
    </row>
    <row r="41" spans="2:12" ht="15.75" customHeight="1">
      <c r="B41" s="28">
        <v>8</v>
      </c>
      <c r="C41" s="143" t="s">
        <v>42</v>
      </c>
      <c r="D41" s="9"/>
      <c r="E41" s="10"/>
      <c r="F41" s="18"/>
      <c r="G41" s="10"/>
      <c r="H41" s="11">
        <f t="shared" si="3"/>
        <v>0</v>
      </c>
      <c r="I41" s="294"/>
      <c r="L41" s="119"/>
    </row>
    <row r="42" spans="2:12" ht="15.75" customHeight="1">
      <c r="B42" s="28">
        <v>9</v>
      </c>
      <c r="C42" s="143" t="s">
        <v>52</v>
      </c>
      <c r="D42" s="9">
        <v>1000</v>
      </c>
      <c r="E42" s="10"/>
      <c r="F42" s="18"/>
      <c r="G42" s="10"/>
      <c r="H42" s="11">
        <f t="shared" si="3"/>
        <v>1000</v>
      </c>
      <c r="L42" s="117"/>
    </row>
    <row r="43" spans="2:12" ht="15.75" customHeight="1">
      <c r="B43" s="28">
        <v>10</v>
      </c>
      <c r="C43" s="141" t="s">
        <v>54</v>
      </c>
      <c r="D43" s="9"/>
      <c r="E43" s="10"/>
      <c r="F43" s="18"/>
      <c r="G43" s="10"/>
      <c r="H43" s="11">
        <f t="shared" si="3"/>
        <v>0</v>
      </c>
      <c r="L43" s="119"/>
    </row>
    <row r="44" spans="2:12" ht="15.75" customHeight="1">
      <c r="B44" s="28">
        <v>11</v>
      </c>
      <c r="C44" s="141" t="s">
        <v>53</v>
      </c>
      <c r="D44" s="9"/>
      <c r="E44" s="10"/>
      <c r="F44" s="18"/>
      <c r="G44" s="10"/>
      <c r="H44" s="11">
        <f t="shared" si="3"/>
        <v>0</v>
      </c>
      <c r="L44" s="119"/>
    </row>
    <row r="45" spans="2:12" ht="15.75" customHeight="1">
      <c r="B45" s="28">
        <v>12</v>
      </c>
      <c r="C45" s="234" t="s">
        <v>65</v>
      </c>
      <c r="D45" s="9"/>
      <c r="E45" s="10"/>
      <c r="F45" s="18">
        <v>372.5</v>
      </c>
      <c r="G45" s="10"/>
      <c r="H45" s="11">
        <f t="shared" si="3"/>
        <v>372.5</v>
      </c>
      <c r="L45" s="119"/>
    </row>
    <row r="46" spans="2:12" ht="15.75" customHeight="1">
      <c r="B46" s="28">
        <v>13</v>
      </c>
      <c r="C46" s="141" t="s">
        <v>58</v>
      </c>
      <c r="D46" s="9"/>
      <c r="E46" s="10"/>
      <c r="F46" s="41"/>
      <c r="G46" s="10">
        <v>49</v>
      </c>
      <c r="H46" s="11">
        <f t="shared" si="3"/>
        <v>49</v>
      </c>
      <c r="I46" s="311" t="s">
        <v>67</v>
      </c>
      <c r="L46" s="119"/>
    </row>
    <row r="47" spans="2:12" ht="15.75" customHeight="1">
      <c r="B47" s="28">
        <v>14</v>
      </c>
      <c r="C47" s="141" t="s">
        <v>49</v>
      </c>
      <c r="D47" s="9"/>
      <c r="E47" s="10"/>
      <c r="F47" s="18"/>
      <c r="G47" s="10"/>
      <c r="H47" s="11">
        <f t="shared" si="3"/>
        <v>0</v>
      </c>
      <c r="L47" s="119"/>
    </row>
    <row r="48" spans="2:12" ht="15.75" customHeight="1">
      <c r="B48" s="28">
        <v>15</v>
      </c>
      <c r="C48" s="280"/>
      <c r="D48" s="9"/>
      <c r="E48" s="10"/>
      <c r="F48" s="18"/>
      <c r="G48" s="10"/>
      <c r="H48" s="11">
        <f t="shared" si="3"/>
        <v>0</v>
      </c>
      <c r="L48" s="119"/>
    </row>
    <row r="49" spans="2:12" ht="15.75" customHeight="1">
      <c r="B49" s="28">
        <v>16</v>
      </c>
      <c r="C49" s="141"/>
      <c r="D49" s="9"/>
      <c r="E49" s="10"/>
      <c r="F49" s="18"/>
      <c r="G49" s="10"/>
      <c r="H49" s="11">
        <f t="shared" si="3"/>
        <v>0</v>
      </c>
      <c r="L49" s="119"/>
    </row>
    <row r="50" spans="2:12" ht="15.75" customHeight="1">
      <c r="B50" s="28">
        <v>17</v>
      </c>
      <c r="C50" s="141"/>
      <c r="D50" s="9"/>
      <c r="E50" s="10"/>
      <c r="F50" s="18"/>
      <c r="G50" s="10"/>
      <c r="H50" s="11">
        <f t="shared" si="3"/>
        <v>0</v>
      </c>
      <c r="L50" s="119"/>
    </row>
    <row r="51" spans="2:12" ht="15.75" customHeight="1">
      <c r="B51" s="28"/>
      <c r="C51" s="40"/>
      <c r="D51" s="9"/>
      <c r="E51" s="10"/>
      <c r="F51" s="18"/>
      <c r="G51" s="10"/>
      <c r="H51" s="11">
        <f t="shared" si="3"/>
        <v>0</v>
      </c>
      <c r="L51" s="119"/>
    </row>
    <row r="52" spans="2:12" ht="15.75" customHeight="1">
      <c r="B52" s="28"/>
      <c r="C52" s="40"/>
      <c r="D52" s="9"/>
      <c r="E52" s="10"/>
      <c r="F52" s="18"/>
      <c r="G52" s="10"/>
      <c r="H52" s="11">
        <f t="shared" si="3"/>
        <v>0</v>
      </c>
      <c r="L52" s="119"/>
    </row>
    <row r="53" spans="2:12" ht="15.75" customHeight="1">
      <c r="B53" s="28"/>
      <c r="C53" s="40"/>
      <c r="D53" s="9"/>
      <c r="E53" s="10"/>
      <c r="F53" s="18"/>
      <c r="G53" s="10"/>
      <c r="H53" s="11">
        <f t="shared" si="3"/>
        <v>0</v>
      </c>
      <c r="L53" s="119"/>
    </row>
    <row r="54" spans="2:12" ht="15.75" customHeight="1">
      <c r="B54" s="28"/>
      <c r="C54" s="121"/>
      <c r="D54" s="9"/>
      <c r="E54" s="10"/>
      <c r="F54" s="18"/>
      <c r="G54" s="10"/>
      <c r="H54" s="11">
        <f t="shared" si="3"/>
        <v>0</v>
      </c>
      <c r="L54" s="120"/>
    </row>
    <row r="55" spans="2:12" ht="15.75" customHeight="1">
      <c r="B55" s="328" t="s">
        <v>9</v>
      </c>
      <c r="C55" s="329"/>
      <c r="D55" s="33">
        <f>SUM(D36:D41)</f>
        <v>0</v>
      </c>
      <c r="E55" s="33">
        <f t="shared" ref="E55:H55" si="4">SUM(E36:E41)</f>
        <v>0</v>
      </c>
      <c r="F55" s="33">
        <f t="shared" si="4"/>
        <v>0</v>
      </c>
      <c r="G55" s="33">
        <f t="shared" si="4"/>
        <v>0</v>
      </c>
      <c r="H55" s="34">
        <f t="shared" si="4"/>
        <v>0</v>
      </c>
      <c r="L55" s="120"/>
    </row>
    <row r="56" spans="2:12" ht="15.75" customHeight="1">
      <c r="D56" s="36"/>
      <c r="L56" s="120"/>
    </row>
    <row r="57" spans="2:12" ht="15.75" customHeight="1">
      <c r="D57" s="36"/>
    </row>
    <row r="58" spans="2:12" ht="15.75" customHeight="1">
      <c r="D58" s="36"/>
    </row>
    <row r="59" spans="2:12" ht="15.75" customHeight="1">
      <c r="D59" s="36"/>
    </row>
    <row r="60" spans="2:12" ht="15.75" customHeight="1">
      <c r="D60" s="36"/>
    </row>
    <row r="61" spans="2:12" ht="15.75" customHeight="1">
      <c r="D61" s="36"/>
    </row>
    <row r="62" spans="2:12" ht="15.75" customHeight="1">
      <c r="D62" s="36"/>
    </row>
    <row r="63" spans="2:12" ht="15.75" customHeight="1">
      <c r="D63" s="36"/>
    </row>
    <row r="64" spans="2:12" ht="15.75" customHeight="1">
      <c r="D64" s="36"/>
    </row>
    <row r="65" spans="4:4" ht="15.75" customHeight="1">
      <c r="D65" s="36"/>
    </row>
    <row r="66" spans="4:4" ht="15.75" customHeight="1">
      <c r="D66" s="36"/>
    </row>
    <row r="67" spans="4:4" ht="15.75" customHeight="1">
      <c r="D67" s="36"/>
    </row>
    <row r="68" spans="4:4" ht="15.75" customHeight="1">
      <c r="D68" s="36"/>
    </row>
    <row r="69" spans="4:4" ht="15.75" customHeight="1">
      <c r="D69" s="36"/>
    </row>
    <row r="70" spans="4:4" ht="15.75" customHeight="1">
      <c r="D70" s="36"/>
    </row>
    <row r="71" spans="4:4" ht="15.75" customHeight="1">
      <c r="D71" s="36"/>
    </row>
    <row r="72" spans="4:4" ht="15.75" customHeight="1">
      <c r="D72" s="36"/>
    </row>
    <row r="73" spans="4:4" ht="15.75" customHeight="1">
      <c r="D73" s="36"/>
    </row>
    <row r="74" spans="4:4" ht="15.75" customHeight="1">
      <c r="D74" s="36"/>
    </row>
    <row r="75" spans="4:4" ht="15.75" customHeight="1">
      <c r="D75" s="36"/>
    </row>
    <row r="76" spans="4:4" ht="15.75" customHeight="1">
      <c r="D76" s="36"/>
    </row>
    <row r="77" spans="4:4" ht="15.75" customHeight="1">
      <c r="D77" s="36"/>
    </row>
    <row r="78" spans="4:4" ht="15.75" customHeight="1">
      <c r="D78" s="36"/>
    </row>
    <row r="79" spans="4:4" ht="15.75" customHeight="1">
      <c r="D79" s="36"/>
    </row>
    <row r="80" spans="4:4" ht="15.75" customHeight="1">
      <c r="D80" s="36"/>
    </row>
    <row r="81" spans="4:4" ht="15.75" customHeight="1">
      <c r="D81" s="36"/>
    </row>
    <row r="82" spans="4:4" ht="15.75" customHeight="1">
      <c r="D82" s="36"/>
    </row>
    <row r="83" spans="4:4" ht="15.75" customHeight="1">
      <c r="D83" s="36"/>
    </row>
    <row r="84" spans="4:4" ht="15.75" customHeight="1">
      <c r="D84" s="36"/>
    </row>
    <row r="85" spans="4:4" ht="15.75" customHeight="1">
      <c r="D85" s="36"/>
    </row>
    <row r="86" spans="4:4" ht="15.75" customHeight="1">
      <c r="D86" s="36"/>
    </row>
    <row r="87" spans="4:4" ht="15.75" customHeight="1">
      <c r="D87" s="36"/>
    </row>
    <row r="88" spans="4:4" ht="15.75" customHeight="1">
      <c r="D88" s="36"/>
    </row>
    <row r="89" spans="4:4" ht="15.75" customHeight="1">
      <c r="D89" s="36"/>
    </row>
    <row r="90" spans="4:4" ht="15.75" customHeight="1">
      <c r="D90" s="36"/>
    </row>
    <row r="91" spans="4:4" ht="15.75" customHeight="1">
      <c r="D91" s="36"/>
    </row>
    <row r="92" spans="4:4" ht="15.75" customHeight="1">
      <c r="D92" s="36"/>
    </row>
    <row r="93" spans="4:4" ht="15.75" customHeight="1">
      <c r="D93" s="36"/>
    </row>
    <row r="94" spans="4:4" ht="15.75" customHeight="1">
      <c r="D94" s="36"/>
    </row>
    <row r="95" spans="4:4" ht="15.75" customHeight="1">
      <c r="D95" s="36"/>
    </row>
    <row r="96" spans="4:4" ht="15.75" customHeight="1">
      <c r="D96" s="36"/>
    </row>
    <row r="97" spans="4:4" ht="15.75" customHeight="1">
      <c r="D97" s="36"/>
    </row>
    <row r="98" spans="4:4" ht="15.75" customHeight="1">
      <c r="D98" s="36"/>
    </row>
    <row r="99" spans="4:4" ht="15.75" customHeight="1">
      <c r="D99" s="36"/>
    </row>
    <row r="100" spans="4:4" ht="15.75" customHeight="1">
      <c r="D100" s="36"/>
    </row>
    <row r="101" spans="4:4" ht="15.75" customHeight="1">
      <c r="D101" s="36"/>
    </row>
    <row r="102" spans="4:4" ht="15.75" customHeight="1">
      <c r="D102" s="36"/>
    </row>
    <row r="103" spans="4:4" ht="15.75" customHeight="1">
      <c r="D103" s="36"/>
    </row>
    <row r="104" spans="4:4" ht="15.75" customHeight="1">
      <c r="D104" s="36"/>
    </row>
    <row r="105" spans="4:4" ht="15.75" customHeight="1">
      <c r="D105" s="36"/>
    </row>
    <row r="106" spans="4:4" ht="15.75" customHeight="1">
      <c r="D106" s="36"/>
    </row>
    <row r="107" spans="4:4" ht="15.75" customHeight="1">
      <c r="D107" s="36"/>
    </row>
    <row r="108" spans="4:4" ht="15.75" customHeight="1">
      <c r="D108" s="36"/>
    </row>
    <row r="109" spans="4:4" ht="15.75" customHeight="1">
      <c r="D109" s="36"/>
    </row>
    <row r="110" spans="4:4" ht="15.75" customHeight="1">
      <c r="D110" s="36"/>
    </row>
    <row r="111" spans="4:4" ht="15.75" customHeight="1">
      <c r="D111" s="36"/>
    </row>
    <row r="112" spans="4:4" ht="15.75" customHeight="1">
      <c r="D112" s="36"/>
    </row>
    <row r="113" spans="4:4" ht="15.75" customHeight="1">
      <c r="D113" s="36"/>
    </row>
    <row r="114" spans="4:4" ht="15.75" customHeight="1">
      <c r="D114" s="36"/>
    </row>
    <row r="115" spans="4:4" ht="15.75" customHeight="1">
      <c r="D115" s="36"/>
    </row>
    <row r="116" spans="4:4" ht="15.75" customHeight="1">
      <c r="D116" s="36"/>
    </row>
    <row r="117" spans="4:4" ht="15.75" customHeight="1">
      <c r="D117" s="36"/>
    </row>
    <row r="118" spans="4:4" ht="15.75" customHeight="1">
      <c r="D118" s="36"/>
    </row>
    <row r="119" spans="4:4" ht="15.75" customHeight="1">
      <c r="D119" s="36"/>
    </row>
    <row r="120" spans="4:4" ht="15.75" customHeight="1">
      <c r="D120" s="36"/>
    </row>
    <row r="121" spans="4:4" ht="15.75" customHeight="1">
      <c r="D121" s="36"/>
    </row>
    <row r="122" spans="4:4" ht="15.75" customHeight="1">
      <c r="D122" s="36"/>
    </row>
    <row r="123" spans="4:4" ht="15.75" customHeight="1">
      <c r="D123" s="36"/>
    </row>
    <row r="124" spans="4:4" ht="15.75" customHeight="1">
      <c r="D124" s="36"/>
    </row>
    <row r="125" spans="4:4" ht="15.75" customHeight="1">
      <c r="D125" s="36"/>
    </row>
    <row r="126" spans="4:4" ht="15.75" customHeight="1">
      <c r="D126" s="36"/>
    </row>
    <row r="127" spans="4:4" ht="15.75" customHeight="1">
      <c r="D127" s="36"/>
    </row>
    <row r="128" spans="4:4" ht="15.75" customHeight="1">
      <c r="D128" s="36"/>
    </row>
    <row r="129" spans="4:4" ht="15.75" customHeight="1">
      <c r="D129" s="36"/>
    </row>
    <row r="130" spans="4:4" ht="15.75" customHeight="1">
      <c r="D130" s="36"/>
    </row>
    <row r="131" spans="4:4" ht="15.75" customHeight="1">
      <c r="D131" s="36"/>
    </row>
    <row r="132" spans="4:4" ht="15.75" customHeight="1">
      <c r="D132" s="36"/>
    </row>
    <row r="133" spans="4:4" ht="15.75" customHeight="1">
      <c r="D133" s="36"/>
    </row>
    <row r="134" spans="4:4" ht="15.75" customHeight="1">
      <c r="D134" s="36"/>
    </row>
    <row r="135" spans="4:4" ht="15.75" customHeight="1">
      <c r="D135" s="36"/>
    </row>
    <row r="136" spans="4:4" ht="15.75" customHeight="1">
      <c r="D136" s="36"/>
    </row>
    <row r="137" spans="4:4" ht="15.75" customHeight="1">
      <c r="D137" s="36"/>
    </row>
    <row r="138" spans="4:4" ht="15.75" customHeight="1">
      <c r="D138" s="36"/>
    </row>
    <row r="139" spans="4:4" ht="15.75" customHeight="1">
      <c r="D139" s="36"/>
    </row>
    <row r="140" spans="4:4" ht="15.75" customHeight="1">
      <c r="D140" s="36"/>
    </row>
    <row r="141" spans="4:4" ht="15.75" customHeight="1">
      <c r="D141" s="36"/>
    </row>
    <row r="142" spans="4:4" ht="15.75" customHeight="1">
      <c r="D142" s="36"/>
    </row>
    <row r="143" spans="4:4" ht="15.75" customHeight="1">
      <c r="D143" s="36"/>
    </row>
    <row r="144" spans="4:4" ht="15.75" customHeight="1">
      <c r="D144" s="36"/>
    </row>
    <row r="145" spans="4:4" ht="15.75" customHeight="1">
      <c r="D145" s="36"/>
    </row>
    <row r="146" spans="4:4" ht="15.75" customHeight="1">
      <c r="D146" s="36"/>
    </row>
    <row r="147" spans="4:4" ht="15.75" customHeight="1">
      <c r="D147" s="36"/>
    </row>
    <row r="148" spans="4:4" ht="15.75" customHeight="1">
      <c r="D148" s="36"/>
    </row>
    <row r="149" spans="4:4" ht="15.75" customHeight="1">
      <c r="D149" s="36"/>
    </row>
    <row r="150" spans="4:4" ht="15.75" customHeight="1">
      <c r="D150" s="36"/>
    </row>
    <row r="151" spans="4:4" ht="15.75" customHeight="1">
      <c r="D151" s="36"/>
    </row>
    <row r="152" spans="4:4" ht="15.75" customHeight="1">
      <c r="D152" s="36"/>
    </row>
    <row r="153" spans="4:4" ht="15.75" customHeight="1">
      <c r="D153" s="36"/>
    </row>
    <row r="154" spans="4:4" ht="15.75" customHeight="1">
      <c r="D154" s="36"/>
    </row>
    <row r="155" spans="4:4" ht="15.75" customHeight="1">
      <c r="D155" s="36"/>
    </row>
    <row r="156" spans="4:4" ht="15.75" customHeight="1">
      <c r="D156" s="36"/>
    </row>
    <row r="157" spans="4:4" ht="15.75" customHeight="1">
      <c r="D157" s="36"/>
    </row>
    <row r="158" spans="4:4" ht="15.75" customHeight="1">
      <c r="D158" s="36"/>
    </row>
    <row r="159" spans="4:4" ht="15.75" customHeight="1">
      <c r="D159" s="36"/>
    </row>
    <row r="160" spans="4:4" ht="15.75" customHeight="1">
      <c r="D160" s="36"/>
    </row>
    <row r="161" spans="4:4" ht="15.75" customHeight="1">
      <c r="D161" s="36"/>
    </row>
    <row r="162" spans="4:4" ht="15.75" customHeight="1">
      <c r="D162" s="36"/>
    </row>
    <row r="163" spans="4:4" ht="15.75" customHeight="1">
      <c r="D163" s="36"/>
    </row>
    <row r="164" spans="4:4" ht="15.75" customHeight="1">
      <c r="D164" s="36"/>
    </row>
    <row r="165" spans="4:4" ht="15.75" customHeight="1">
      <c r="D165" s="36"/>
    </row>
    <row r="166" spans="4:4" ht="15.75" customHeight="1">
      <c r="D166" s="36"/>
    </row>
    <row r="167" spans="4:4" ht="15.75" customHeight="1">
      <c r="D167" s="36"/>
    </row>
    <row r="168" spans="4:4" ht="15.75" customHeight="1">
      <c r="D168" s="36"/>
    </row>
    <row r="169" spans="4:4" ht="15.75" customHeight="1">
      <c r="D169" s="36"/>
    </row>
    <row r="170" spans="4:4" ht="15.75" customHeight="1">
      <c r="D170" s="36"/>
    </row>
    <row r="171" spans="4:4" ht="15.75" customHeight="1">
      <c r="D171" s="36"/>
    </row>
    <row r="172" spans="4:4" ht="15.75" customHeight="1">
      <c r="D172" s="36"/>
    </row>
    <row r="173" spans="4:4" ht="15.75" customHeight="1">
      <c r="D173" s="36"/>
    </row>
    <row r="174" spans="4:4" ht="15.75" customHeight="1">
      <c r="D174" s="36"/>
    </row>
    <row r="175" spans="4:4" ht="15.75" customHeight="1">
      <c r="D175" s="36"/>
    </row>
    <row r="176" spans="4:4" ht="15.75" customHeight="1">
      <c r="D176" s="36"/>
    </row>
    <row r="177" spans="4:4" ht="15.75" customHeight="1">
      <c r="D177" s="36"/>
    </row>
    <row r="178" spans="4:4" ht="15.75" customHeight="1">
      <c r="D178" s="36"/>
    </row>
    <row r="179" spans="4:4" ht="15.75" customHeight="1">
      <c r="D179" s="36"/>
    </row>
    <row r="180" spans="4:4" ht="15.75" customHeight="1">
      <c r="D180" s="36"/>
    </row>
    <row r="181" spans="4:4" ht="15.75" customHeight="1">
      <c r="D181" s="36"/>
    </row>
    <row r="182" spans="4:4" ht="15.75" customHeight="1">
      <c r="D182" s="36"/>
    </row>
    <row r="183" spans="4:4" ht="15.75" customHeight="1">
      <c r="D183" s="36"/>
    </row>
    <row r="184" spans="4:4" ht="15.75" customHeight="1">
      <c r="D184" s="36"/>
    </row>
    <row r="185" spans="4:4" ht="15.75" customHeight="1">
      <c r="D185" s="36"/>
    </row>
    <row r="186" spans="4:4" ht="15.75" customHeight="1">
      <c r="D186" s="36"/>
    </row>
    <row r="187" spans="4:4" ht="15.75" customHeight="1">
      <c r="D187" s="36"/>
    </row>
    <row r="188" spans="4:4" ht="15.75" customHeight="1">
      <c r="D188" s="36"/>
    </row>
    <row r="189" spans="4:4" ht="15.75" customHeight="1">
      <c r="D189" s="36"/>
    </row>
    <row r="190" spans="4:4" ht="15.75" customHeight="1">
      <c r="D190" s="36"/>
    </row>
    <row r="191" spans="4:4" ht="15.75" customHeight="1">
      <c r="D191" s="36"/>
    </row>
    <row r="192" spans="4:4" ht="15.75" customHeight="1">
      <c r="D192" s="36"/>
    </row>
    <row r="193" spans="4:4" ht="15.75" customHeight="1">
      <c r="D193" s="36"/>
    </row>
    <row r="194" spans="4:4" ht="15.75" customHeight="1">
      <c r="D194" s="36"/>
    </row>
    <row r="195" spans="4:4" ht="15.75" customHeight="1">
      <c r="D195" s="36"/>
    </row>
    <row r="196" spans="4:4" ht="15.75" customHeight="1">
      <c r="D196" s="36"/>
    </row>
    <row r="197" spans="4:4" ht="15.75" customHeight="1">
      <c r="D197" s="36"/>
    </row>
    <row r="198" spans="4:4" ht="15.75" customHeight="1">
      <c r="D198" s="36"/>
    </row>
    <row r="199" spans="4:4" ht="15.75" customHeight="1">
      <c r="D199" s="36"/>
    </row>
    <row r="200" spans="4:4" ht="15.75" customHeight="1">
      <c r="D200" s="36"/>
    </row>
    <row r="201" spans="4:4" ht="15.75" customHeight="1">
      <c r="D201" s="36"/>
    </row>
    <row r="202" spans="4:4" ht="15.75" customHeight="1">
      <c r="D202" s="36"/>
    </row>
    <row r="203" spans="4:4" ht="15.75" customHeight="1">
      <c r="D203" s="36"/>
    </row>
    <row r="204" spans="4:4" ht="15.75" customHeight="1">
      <c r="D204" s="36"/>
    </row>
    <row r="205" spans="4:4" ht="15.75" customHeight="1">
      <c r="D205" s="36"/>
    </row>
    <row r="206" spans="4:4" ht="15.75" customHeight="1">
      <c r="D206" s="36"/>
    </row>
    <row r="207" spans="4:4" ht="15.75" customHeight="1">
      <c r="D207" s="36"/>
    </row>
    <row r="208" spans="4:4" ht="15.75" customHeight="1">
      <c r="D208" s="36"/>
    </row>
    <row r="209" spans="4:4" ht="15.75" customHeight="1">
      <c r="D209" s="36"/>
    </row>
    <row r="210" spans="4:4" ht="15.75" customHeight="1">
      <c r="D210" s="36"/>
    </row>
    <row r="211" spans="4:4" ht="15.75" customHeight="1">
      <c r="D211" s="36"/>
    </row>
    <row r="212" spans="4:4" ht="15.75" customHeight="1">
      <c r="D212" s="36"/>
    </row>
    <row r="213" spans="4:4" ht="15.75" customHeight="1">
      <c r="D213" s="36"/>
    </row>
    <row r="214" spans="4:4" ht="15.75" customHeight="1">
      <c r="D214" s="36"/>
    </row>
    <row r="215" spans="4:4" ht="15.75" customHeight="1">
      <c r="D215" s="36"/>
    </row>
    <row r="216" spans="4:4" ht="15.75" customHeight="1">
      <c r="D216" s="36"/>
    </row>
    <row r="217" spans="4:4" ht="15.75" customHeight="1">
      <c r="D217" s="36"/>
    </row>
    <row r="218" spans="4:4" ht="15.75" customHeight="1">
      <c r="D218" s="36"/>
    </row>
    <row r="219" spans="4:4" ht="15.75" customHeight="1">
      <c r="D219" s="36"/>
    </row>
    <row r="220" spans="4:4" ht="15.75" customHeight="1">
      <c r="D220" s="36"/>
    </row>
    <row r="221" spans="4:4" ht="15.75" customHeight="1">
      <c r="D221" s="36"/>
    </row>
    <row r="222" spans="4:4" ht="15.75" customHeight="1">
      <c r="D222" s="36"/>
    </row>
    <row r="223" spans="4:4" ht="15.75" customHeight="1">
      <c r="D223" s="36"/>
    </row>
    <row r="224" spans="4:4" ht="15.75" customHeight="1">
      <c r="D224" s="36"/>
    </row>
    <row r="225" spans="4:4" ht="15.75" customHeight="1">
      <c r="D225" s="36"/>
    </row>
    <row r="226" spans="4:4" ht="15.75" customHeight="1">
      <c r="D226" s="36"/>
    </row>
    <row r="227" spans="4:4" ht="15.75" customHeight="1">
      <c r="D227" s="36"/>
    </row>
    <row r="228" spans="4:4" ht="15.75" customHeight="1">
      <c r="D228" s="36"/>
    </row>
    <row r="229" spans="4:4" ht="15.75" customHeight="1">
      <c r="D229" s="36"/>
    </row>
    <row r="230" spans="4:4" ht="15.75" customHeight="1">
      <c r="D230" s="36"/>
    </row>
    <row r="231" spans="4:4" ht="15.75" customHeight="1">
      <c r="D231" s="36"/>
    </row>
    <row r="232" spans="4:4" ht="15.75" customHeight="1">
      <c r="D232" s="36"/>
    </row>
    <row r="233" spans="4:4" ht="15.75" customHeight="1">
      <c r="D233" s="36"/>
    </row>
    <row r="234" spans="4:4" ht="15.75" customHeight="1">
      <c r="D234" s="36"/>
    </row>
    <row r="235" spans="4:4" ht="15.75" customHeight="1">
      <c r="D235" s="36"/>
    </row>
    <row r="236" spans="4:4" ht="15.75" customHeight="1">
      <c r="D236" s="36"/>
    </row>
    <row r="237" spans="4:4" ht="15.75" customHeight="1">
      <c r="D237" s="36"/>
    </row>
    <row r="238" spans="4:4" ht="15.75" customHeight="1">
      <c r="D238" s="36"/>
    </row>
    <row r="239" spans="4:4" ht="15.75" customHeight="1">
      <c r="D239" s="36"/>
    </row>
    <row r="240" spans="4:4" ht="15.75" customHeight="1">
      <c r="D240" s="36"/>
    </row>
    <row r="241" spans="4:4" ht="15.75" customHeight="1">
      <c r="D241" s="36"/>
    </row>
    <row r="242" spans="4:4" ht="15.75" customHeight="1">
      <c r="D242" s="36"/>
    </row>
    <row r="243" spans="4:4" ht="15.75" customHeight="1">
      <c r="D243" s="36"/>
    </row>
    <row r="244" spans="4:4" ht="15.75" customHeight="1">
      <c r="D244" s="36"/>
    </row>
    <row r="245" spans="4:4" ht="15.75" customHeight="1">
      <c r="D245" s="36"/>
    </row>
    <row r="246" spans="4:4" ht="15.75" customHeight="1">
      <c r="D246" s="36"/>
    </row>
    <row r="247" spans="4:4" ht="15.75" customHeight="1">
      <c r="D247" s="36"/>
    </row>
    <row r="248" spans="4:4" ht="15.75" customHeight="1">
      <c r="D248" s="36"/>
    </row>
    <row r="249" spans="4:4" ht="15.75" customHeight="1">
      <c r="D249" s="36"/>
    </row>
    <row r="250" spans="4:4" ht="15.75" customHeight="1">
      <c r="D250" s="36"/>
    </row>
    <row r="251" spans="4:4" ht="15.75" customHeight="1">
      <c r="D251" s="36"/>
    </row>
    <row r="252" spans="4:4" ht="15.75" customHeight="1">
      <c r="D252" s="36"/>
    </row>
    <row r="253" spans="4:4" ht="15.75" customHeight="1">
      <c r="D253" s="36"/>
    </row>
    <row r="254" spans="4:4" ht="15.75" customHeight="1">
      <c r="D254" s="36"/>
    </row>
    <row r="255" spans="4:4" ht="15.75" customHeight="1">
      <c r="D255" s="36"/>
    </row>
    <row r="256" spans="4:4" ht="15.75" customHeight="1">
      <c r="D256" s="36"/>
    </row>
    <row r="257" spans="4:4" ht="15.75" customHeight="1">
      <c r="D257" s="36"/>
    </row>
    <row r="258" spans="4:4" ht="15.75" customHeight="1">
      <c r="D258" s="36"/>
    </row>
    <row r="259" spans="4:4" ht="15.75" customHeight="1">
      <c r="D259" s="36"/>
    </row>
    <row r="260" spans="4:4" ht="15.75" customHeight="1">
      <c r="D260" s="36"/>
    </row>
    <row r="261" spans="4:4" ht="15.75" customHeight="1">
      <c r="D261" s="36"/>
    </row>
    <row r="262" spans="4:4" ht="15.75" customHeight="1">
      <c r="D262" s="36"/>
    </row>
    <row r="263" spans="4:4" ht="15.75" customHeight="1">
      <c r="D263" s="36"/>
    </row>
    <row r="264" spans="4:4" ht="15.75" customHeight="1">
      <c r="D264" s="36"/>
    </row>
    <row r="265" spans="4:4" ht="15.75" customHeight="1">
      <c r="D265" s="36"/>
    </row>
    <row r="266" spans="4:4" ht="15.75" customHeight="1">
      <c r="D266" s="36"/>
    </row>
    <row r="267" spans="4:4" ht="15.75" customHeight="1">
      <c r="D267" s="36"/>
    </row>
    <row r="268" spans="4:4" ht="15.75" customHeight="1">
      <c r="D268" s="36"/>
    </row>
    <row r="269" spans="4:4" ht="15.75" customHeight="1">
      <c r="D269" s="36"/>
    </row>
    <row r="270" spans="4:4" ht="15.75" customHeight="1">
      <c r="D270" s="36"/>
    </row>
    <row r="271" spans="4:4" ht="15.75" customHeight="1">
      <c r="D271" s="36"/>
    </row>
    <row r="272" spans="4:4" ht="15.75" customHeight="1">
      <c r="D272" s="36"/>
    </row>
    <row r="273" spans="4:4" ht="15.75" customHeight="1">
      <c r="D273" s="36"/>
    </row>
    <row r="274" spans="4:4" ht="15.75" customHeight="1">
      <c r="D274" s="36"/>
    </row>
    <row r="275" spans="4:4" ht="15.75" customHeight="1">
      <c r="D275" s="36"/>
    </row>
    <row r="276" spans="4:4" ht="15.75" customHeight="1">
      <c r="D276" s="36"/>
    </row>
    <row r="277" spans="4:4" ht="15.75" customHeight="1">
      <c r="D277" s="36"/>
    </row>
    <row r="278" spans="4:4" ht="15.75" customHeight="1">
      <c r="D278" s="36"/>
    </row>
    <row r="279" spans="4:4" ht="15.75" customHeight="1">
      <c r="D279" s="36"/>
    </row>
    <row r="280" spans="4:4" ht="15.75" customHeight="1">
      <c r="D280" s="36"/>
    </row>
    <row r="281" spans="4:4" ht="15.75" customHeight="1">
      <c r="D281" s="36"/>
    </row>
    <row r="282" spans="4:4" ht="15.75" customHeight="1">
      <c r="D282" s="36"/>
    </row>
    <row r="283" spans="4:4" ht="15.75" customHeight="1">
      <c r="D283" s="36"/>
    </row>
    <row r="284" spans="4:4" ht="15.75" customHeight="1">
      <c r="D284" s="36"/>
    </row>
    <row r="285" spans="4:4" ht="15.75" customHeight="1">
      <c r="D285" s="36"/>
    </row>
    <row r="286" spans="4:4" ht="15.75" customHeight="1">
      <c r="D286" s="36"/>
    </row>
    <row r="287" spans="4:4" ht="15.75" customHeight="1">
      <c r="D287" s="36"/>
    </row>
    <row r="288" spans="4:4" ht="15.75" customHeight="1">
      <c r="D288" s="36"/>
    </row>
    <row r="289" spans="4:4" ht="15.75" customHeight="1">
      <c r="D289" s="36"/>
    </row>
    <row r="290" spans="4:4" ht="15.75" customHeight="1">
      <c r="D290" s="36"/>
    </row>
    <row r="291" spans="4:4" ht="15.75" customHeight="1">
      <c r="D291" s="36"/>
    </row>
    <row r="292" spans="4:4" ht="15.75" customHeight="1">
      <c r="D292" s="36"/>
    </row>
    <row r="293" spans="4:4" ht="15.75" customHeight="1">
      <c r="D293" s="36"/>
    </row>
    <row r="294" spans="4:4" ht="15.75" customHeight="1">
      <c r="D294" s="36"/>
    </row>
    <row r="295" spans="4:4" ht="15.75" customHeight="1">
      <c r="D295" s="36"/>
    </row>
    <row r="296" spans="4:4" ht="15.75" customHeight="1">
      <c r="D296" s="36"/>
    </row>
    <row r="297" spans="4:4" ht="15.75" customHeight="1">
      <c r="D297" s="36"/>
    </row>
    <row r="298" spans="4:4" ht="15.75" customHeight="1">
      <c r="D298" s="36"/>
    </row>
    <row r="299" spans="4:4" ht="15.75" customHeight="1">
      <c r="D299" s="36"/>
    </row>
    <row r="300" spans="4:4" ht="15.75" customHeight="1">
      <c r="D300" s="36"/>
    </row>
    <row r="301" spans="4:4" ht="15.75" customHeight="1">
      <c r="D301" s="36"/>
    </row>
    <row r="302" spans="4:4" ht="15.75" customHeight="1">
      <c r="D302" s="36"/>
    </row>
    <row r="303" spans="4:4" ht="15.75" customHeight="1">
      <c r="D303" s="36"/>
    </row>
    <row r="304" spans="4:4" ht="15.75" customHeight="1">
      <c r="D304" s="36"/>
    </row>
    <row r="305" spans="4:4" ht="15.75" customHeight="1">
      <c r="D305" s="36"/>
    </row>
    <row r="306" spans="4:4" ht="15.75" customHeight="1">
      <c r="D306" s="36"/>
    </row>
    <row r="307" spans="4:4" ht="15.75" customHeight="1">
      <c r="D307" s="36"/>
    </row>
    <row r="308" spans="4:4" ht="15.75" customHeight="1">
      <c r="D308" s="36"/>
    </row>
    <row r="309" spans="4:4" ht="15.75" customHeight="1">
      <c r="D309" s="36"/>
    </row>
    <row r="310" spans="4:4" ht="15.75" customHeight="1">
      <c r="D310" s="36"/>
    </row>
    <row r="311" spans="4:4" ht="15.75" customHeight="1">
      <c r="D311" s="36"/>
    </row>
    <row r="312" spans="4:4" ht="15.75" customHeight="1">
      <c r="D312" s="36"/>
    </row>
    <row r="313" spans="4:4" ht="15.75" customHeight="1">
      <c r="D313" s="36"/>
    </row>
    <row r="314" spans="4:4" ht="15.75" customHeight="1">
      <c r="D314" s="36"/>
    </row>
    <row r="315" spans="4:4" ht="15.75" customHeight="1">
      <c r="D315" s="36"/>
    </row>
    <row r="316" spans="4:4" ht="15.75" customHeight="1">
      <c r="D316" s="36"/>
    </row>
    <row r="317" spans="4:4" ht="15.75" customHeight="1">
      <c r="D317" s="36"/>
    </row>
    <row r="318" spans="4:4" ht="15.75" customHeight="1">
      <c r="D318" s="36"/>
    </row>
    <row r="319" spans="4:4" ht="15.75" customHeight="1">
      <c r="D319" s="36"/>
    </row>
    <row r="320" spans="4:4" ht="15.75" customHeight="1">
      <c r="D320" s="36"/>
    </row>
    <row r="321" spans="4:4" ht="15.75" customHeight="1">
      <c r="D321" s="36"/>
    </row>
    <row r="322" spans="4:4" ht="15.75" customHeight="1">
      <c r="D322" s="36"/>
    </row>
    <row r="323" spans="4:4" ht="15.75" customHeight="1">
      <c r="D323" s="36"/>
    </row>
    <row r="324" spans="4:4" ht="15.75" customHeight="1">
      <c r="D324" s="36"/>
    </row>
    <row r="325" spans="4:4" ht="15.75" customHeight="1">
      <c r="D325" s="36"/>
    </row>
    <row r="326" spans="4:4" ht="15.75" customHeight="1">
      <c r="D326" s="36"/>
    </row>
    <row r="327" spans="4:4" ht="15.75" customHeight="1">
      <c r="D327" s="36"/>
    </row>
    <row r="328" spans="4:4" ht="15.75" customHeight="1">
      <c r="D328" s="36"/>
    </row>
    <row r="329" spans="4:4" ht="15.75" customHeight="1">
      <c r="D329" s="36"/>
    </row>
    <row r="330" spans="4:4" ht="15.75" customHeight="1">
      <c r="D330" s="36"/>
    </row>
    <row r="331" spans="4:4" ht="15.75" customHeight="1">
      <c r="D331" s="36"/>
    </row>
    <row r="332" spans="4:4" ht="15.75" customHeight="1">
      <c r="D332" s="36"/>
    </row>
    <row r="333" spans="4:4" ht="15.75" customHeight="1">
      <c r="D333" s="36"/>
    </row>
    <row r="334" spans="4:4" ht="15.75" customHeight="1">
      <c r="D334" s="36"/>
    </row>
    <row r="335" spans="4:4" ht="15.75" customHeight="1">
      <c r="D335" s="36"/>
    </row>
    <row r="336" spans="4:4" ht="15.75" customHeight="1">
      <c r="D336" s="36"/>
    </row>
    <row r="337" spans="4:4" ht="15.75" customHeight="1">
      <c r="D337" s="36"/>
    </row>
    <row r="338" spans="4:4" ht="15.75" customHeight="1">
      <c r="D338" s="36"/>
    </row>
    <row r="339" spans="4:4" ht="15.75" customHeight="1">
      <c r="D339" s="36"/>
    </row>
    <row r="340" spans="4:4" ht="15.75" customHeight="1">
      <c r="D340" s="36"/>
    </row>
    <row r="341" spans="4:4" ht="15.75" customHeight="1">
      <c r="D341" s="36"/>
    </row>
    <row r="342" spans="4:4" ht="15.75" customHeight="1">
      <c r="D342" s="36"/>
    </row>
    <row r="343" spans="4:4" ht="15.75" customHeight="1">
      <c r="D343" s="36"/>
    </row>
    <row r="344" spans="4:4" ht="15.75" customHeight="1">
      <c r="D344" s="36"/>
    </row>
    <row r="345" spans="4:4" ht="15.75" customHeight="1">
      <c r="D345" s="36"/>
    </row>
    <row r="346" spans="4:4" ht="15.75" customHeight="1">
      <c r="D346" s="36"/>
    </row>
    <row r="347" spans="4:4" ht="15.75" customHeight="1">
      <c r="D347" s="36"/>
    </row>
    <row r="348" spans="4:4" ht="15.75" customHeight="1">
      <c r="D348" s="36"/>
    </row>
    <row r="349" spans="4:4" ht="15.75" customHeight="1">
      <c r="D349" s="36"/>
    </row>
    <row r="350" spans="4:4" ht="15.75" customHeight="1">
      <c r="D350" s="36"/>
    </row>
    <row r="351" spans="4:4" ht="15.75" customHeight="1">
      <c r="D351" s="36"/>
    </row>
    <row r="352" spans="4:4" ht="15.75" customHeight="1">
      <c r="D352" s="36"/>
    </row>
    <row r="353" spans="4:4" ht="15.75" customHeight="1">
      <c r="D353" s="36"/>
    </row>
    <row r="354" spans="4:4" ht="15.75" customHeight="1">
      <c r="D354" s="36"/>
    </row>
    <row r="355" spans="4:4" ht="15.75" customHeight="1">
      <c r="D355" s="36"/>
    </row>
    <row r="356" spans="4:4" ht="15.75" customHeight="1">
      <c r="D356" s="36"/>
    </row>
    <row r="357" spans="4:4" ht="15.75" customHeight="1">
      <c r="D357" s="36"/>
    </row>
    <row r="358" spans="4:4" ht="15.75" customHeight="1">
      <c r="D358" s="36"/>
    </row>
    <row r="359" spans="4:4" ht="15.75" customHeight="1">
      <c r="D359" s="36"/>
    </row>
    <row r="360" spans="4:4" ht="15.75" customHeight="1">
      <c r="D360" s="36"/>
    </row>
    <row r="361" spans="4:4" ht="15.75" customHeight="1">
      <c r="D361" s="36"/>
    </row>
    <row r="362" spans="4:4" ht="15.75" customHeight="1">
      <c r="D362" s="36"/>
    </row>
    <row r="363" spans="4:4" ht="15.75" customHeight="1">
      <c r="D363" s="36"/>
    </row>
    <row r="364" spans="4:4" ht="15.75" customHeight="1">
      <c r="D364" s="36"/>
    </row>
    <row r="365" spans="4:4" ht="15.75" customHeight="1">
      <c r="D365" s="36"/>
    </row>
    <row r="366" spans="4:4" ht="15.75" customHeight="1">
      <c r="D366" s="36"/>
    </row>
    <row r="367" spans="4:4" ht="15.75" customHeight="1">
      <c r="D367" s="36"/>
    </row>
    <row r="368" spans="4:4" ht="15.75" customHeight="1">
      <c r="D368" s="36"/>
    </row>
    <row r="369" spans="4:4" ht="15.75" customHeight="1">
      <c r="D369" s="36"/>
    </row>
    <row r="370" spans="4:4" ht="15.75" customHeight="1">
      <c r="D370" s="36"/>
    </row>
    <row r="371" spans="4:4" ht="15.75" customHeight="1">
      <c r="D371" s="36"/>
    </row>
    <row r="372" spans="4:4" ht="15.75" customHeight="1">
      <c r="D372" s="36"/>
    </row>
    <row r="373" spans="4:4" ht="15.75" customHeight="1">
      <c r="D373" s="36"/>
    </row>
    <row r="374" spans="4:4" ht="15.75" customHeight="1">
      <c r="D374" s="36"/>
    </row>
    <row r="375" spans="4:4" ht="15.75" customHeight="1">
      <c r="D375" s="36"/>
    </row>
    <row r="376" spans="4:4" ht="15.75" customHeight="1">
      <c r="D376" s="36"/>
    </row>
    <row r="377" spans="4:4" ht="15.75" customHeight="1">
      <c r="D377" s="36"/>
    </row>
    <row r="378" spans="4:4" ht="15.75" customHeight="1">
      <c r="D378" s="36"/>
    </row>
    <row r="379" spans="4:4" ht="15.75" customHeight="1">
      <c r="D379" s="36"/>
    </row>
    <row r="380" spans="4:4" ht="15.75" customHeight="1">
      <c r="D380" s="36"/>
    </row>
    <row r="381" spans="4:4" ht="15.75" customHeight="1">
      <c r="D381" s="36"/>
    </row>
    <row r="382" spans="4:4" ht="15.75" customHeight="1">
      <c r="D382" s="36"/>
    </row>
    <row r="383" spans="4:4" ht="15.75" customHeight="1">
      <c r="D383" s="36"/>
    </row>
    <row r="384" spans="4:4" ht="15.75" customHeight="1">
      <c r="D384" s="36"/>
    </row>
    <row r="385" spans="4:4" ht="15.75" customHeight="1">
      <c r="D385" s="36"/>
    </row>
    <row r="386" spans="4:4" ht="15.75" customHeight="1">
      <c r="D386" s="36"/>
    </row>
    <row r="387" spans="4:4" ht="15.75" customHeight="1">
      <c r="D387" s="36"/>
    </row>
    <row r="388" spans="4:4" ht="15.75" customHeight="1">
      <c r="D388" s="36"/>
    </row>
    <row r="389" spans="4:4" ht="15.75" customHeight="1">
      <c r="D389" s="36"/>
    </row>
    <row r="390" spans="4:4" ht="15.75" customHeight="1">
      <c r="D390" s="36"/>
    </row>
    <row r="391" spans="4:4" ht="15.75" customHeight="1">
      <c r="D391" s="36"/>
    </row>
    <row r="392" spans="4:4" ht="15.75" customHeight="1">
      <c r="D392" s="36"/>
    </row>
    <row r="393" spans="4:4" ht="15.75" customHeight="1">
      <c r="D393" s="36"/>
    </row>
    <row r="394" spans="4:4" ht="15.75" customHeight="1">
      <c r="D394" s="36"/>
    </row>
    <row r="395" spans="4:4" ht="15.75" customHeight="1">
      <c r="D395" s="36"/>
    </row>
    <row r="396" spans="4:4" ht="15.75" customHeight="1">
      <c r="D396" s="36"/>
    </row>
    <row r="397" spans="4:4" ht="15.75" customHeight="1">
      <c r="D397" s="36"/>
    </row>
    <row r="398" spans="4:4" ht="15.75" customHeight="1">
      <c r="D398" s="36"/>
    </row>
    <row r="399" spans="4:4" ht="15.75" customHeight="1">
      <c r="D399" s="36"/>
    </row>
    <row r="400" spans="4:4" ht="15.75" customHeight="1">
      <c r="D400" s="36"/>
    </row>
    <row r="401" spans="4:4" ht="15.75" customHeight="1">
      <c r="D401" s="36"/>
    </row>
    <row r="402" spans="4:4" ht="15.75" customHeight="1">
      <c r="D402" s="36"/>
    </row>
    <row r="403" spans="4:4" ht="15.75" customHeight="1">
      <c r="D403" s="36"/>
    </row>
    <row r="404" spans="4:4" ht="15.75" customHeight="1">
      <c r="D404" s="36"/>
    </row>
    <row r="405" spans="4:4" ht="15.75" customHeight="1">
      <c r="D405" s="36"/>
    </row>
    <row r="406" spans="4:4" ht="15.75" customHeight="1">
      <c r="D406" s="36"/>
    </row>
    <row r="407" spans="4:4" ht="15.75" customHeight="1">
      <c r="D407" s="36"/>
    </row>
    <row r="408" spans="4:4" ht="15.75" customHeight="1">
      <c r="D408" s="36"/>
    </row>
    <row r="409" spans="4:4" ht="15.75" customHeight="1">
      <c r="D409" s="36"/>
    </row>
    <row r="410" spans="4:4" ht="15.75" customHeight="1">
      <c r="D410" s="36"/>
    </row>
    <row r="411" spans="4:4" ht="15.75" customHeight="1">
      <c r="D411" s="36"/>
    </row>
    <row r="412" spans="4:4" ht="15.75" customHeight="1">
      <c r="D412" s="36"/>
    </row>
    <row r="413" spans="4:4" ht="15.75" customHeight="1">
      <c r="D413" s="36"/>
    </row>
    <row r="414" spans="4:4" ht="15.75" customHeight="1">
      <c r="D414" s="36"/>
    </row>
    <row r="415" spans="4:4" ht="15.75" customHeight="1">
      <c r="D415" s="36"/>
    </row>
    <row r="416" spans="4:4" ht="15.75" customHeight="1">
      <c r="D416" s="36"/>
    </row>
    <row r="417" spans="4:4" ht="15.75" customHeight="1">
      <c r="D417" s="36"/>
    </row>
    <row r="418" spans="4:4" ht="15.75" customHeight="1">
      <c r="D418" s="36"/>
    </row>
    <row r="419" spans="4:4" ht="15.75" customHeight="1">
      <c r="D419" s="36"/>
    </row>
    <row r="420" spans="4:4" ht="15.75" customHeight="1">
      <c r="D420" s="36"/>
    </row>
    <row r="421" spans="4:4" ht="15.75" customHeight="1">
      <c r="D421" s="36"/>
    </row>
    <row r="422" spans="4:4" ht="15.75" customHeight="1">
      <c r="D422" s="36"/>
    </row>
    <row r="423" spans="4:4" ht="15.75" customHeight="1">
      <c r="D423" s="36"/>
    </row>
    <row r="424" spans="4:4" ht="15.75" customHeight="1">
      <c r="D424" s="36"/>
    </row>
    <row r="425" spans="4:4" ht="15.75" customHeight="1">
      <c r="D425" s="36"/>
    </row>
    <row r="426" spans="4:4" ht="15.75" customHeight="1">
      <c r="D426" s="36"/>
    </row>
    <row r="427" spans="4:4" ht="15.75" customHeight="1">
      <c r="D427" s="36"/>
    </row>
    <row r="428" spans="4:4" ht="15.75" customHeight="1">
      <c r="D428" s="36"/>
    </row>
    <row r="429" spans="4:4" ht="15.75" customHeight="1">
      <c r="D429" s="36"/>
    </row>
    <row r="430" spans="4:4" ht="15.75" customHeight="1">
      <c r="D430" s="36"/>
    </row>
    <row r="431" spans="4:4" ht="15.75" customHeight="1">
      <c r="D431" s="36"/>
    </row>
    <row r="432" spans="4:4" ht="15.75" customHeight="1">
      <c r="D432" s="36"/>
    </row>
    <row r="433" spans="4:4" ht="15.75" customHeight="1">
      <c r="D433" s="36"/>
    </row>
    <row r="434" spans="4:4" ht="15.75" customHeight="1">
      <c r="D434" s="36"/>
    </row>
    <row r="435" spans="4:4" ht="15.75" customHeight="1">
      <c r="D435" s="36"/>
    </row>
    <row r="436" spans="4:4" ht="15.75" customHeight="1">
      <c r="D436" s="36"/>
    </row>
    <row r="437" spans="4:4" ht="15.75" customHeight="1">
      <c r="D437" s="36"/>
    </row>
    <row r="438" spans="4:4" ht="15.75" customHeight="1">
      <c r="D438" s="36"/>
    </row>
    <row r="439" spans="4:4" ht="15.75" customHeight="1">
      <c r="D439" s="36"/>
    </row>
    <row r="440" spans="4:4" ht="15.75" customHeight="1">
      <c r="D440" s="36"/>
    </row>
    <row r="441" spans="4:4" ht="15.75" customHeight="1">
      <c r="D441" s="36"/>
    </row>
    <row r="442" spans="4:4" ht="15.75" customHeight="1">
      <c r="D442" s="36"/>
    </row>
    <row r="443" spans="4:4" ht="15.75" customHeight="1">
      <c r="D443" s="36"/>
    </row>
    <row r="444" spans="4:4" ht="15.75" customHeight="1">
      <c r="D444" s="36"/>
    </row>
    <row r="445" spans="4:4" ht="15.75" customHeight="1">
      <c r="D445" s="36"/>
    </row>
    <row r="446" spans="4:4" ht="15.75" customHeight="1">
      <c r="D446" s="36"/>
    </row>
    <row r="447" spans="4:4" ht="15.75" customHeight="1">
      <c r="D447" s="36"/>
    </row>
    <row r="448" spans="4:4" ht="15.75" customHeight="1">
      <c r="D448" s="36"/>
    </row>
    <row r="449" spans="4:4" ht="15.75" customHeight="1">
      <c r="D449" s="36"/>
    </row>
    <row r="450" spans="4:4" ht="15.75" customHeight="1">
      <c r="D450" s="36"/>
    </row>
    <row r="451" spans="4:4" ht="15.75" customHeight="1">
      <c r="D451" s="36"/>
    </row>
    <row r="452" spans="4:4" ht="15.75" customHeight="1">
      <c r="D452" s="36"/>
    </row>
    <row r="453" spans="4:4" ht="15.75" customHeight="1">
      <c r="D453" s="36"/>
    </row>
    <row r="454" spans="4:4" ht="15.75" customHeight="1">
      <c r="D454" s="36"/>
    </row>
    <row r="455" spans="4:4" ht="15.75" customHeight="1">
      <c r="D455" s="36"/>
    </row>
    <row r="456" spans="4:4" ht="15.75" customHeight="1">
      <c r="D456" s="36"/>
    </row>
    <row r="457" spans="4:4" ht="15.75" customHeight="1">
      <c r="D457" s="36"/>
    </row>
    <row r="458" spans="4:4" ht="15.75" customHeight="1">
      <c r="D458" s="36"/>
    </row>
    <row r="459" spans="4:4" ht="15.75" customHeight="1">
      <c r="D459" s="36"/>
    </row>
    <row r="460" spans="4:4" ht="15.75" customHeight="1">
      <c r="D460" s="36"/>
    </row>
    <row r="461" spans="4:4" ht="15.75" customHeight="1">
      <c r="D461" s="36"/>
    </row>
    <row r="462" spans="4:4" ht="15.75" customHeight="1">
      <c r="D462" s="36"/>
    </row>
    <row r="463" spans="4:4" ht="15.75" customHeight="1">
      <c r="D463" s="36"/>
    </row>
    <row r="464" spans="4:4" ht="15.75" customHeight="1">
      <c r="D464" s="36"/>
    </row>
    <row r="465" spans="4:4" ht="15.75" customHeight="1">
      <c r="D465" s="36"/>
    </row>
    <row r="466" spans="4:4" ht="15.75" customHeight="1">
      <c r="D466" s="36"/>
    </row>
    <row r="467" spans="4:4" ht="15.75" customHeight="1">
      <c r="D467" s="36"/>
    </row>
    <row r="468" spans="4:4" ht="15.75" customHeight="1">
      <c r="D468" s="36"/>
    </row>
    <row r="469" spans="4:4" ht="15.75" customHeight="1">
      <c r="D469" s="36"/>
    </row>
    <row r="470" spans="4:4" ht="15.75" customHeight="1">
      <c r="D470" s="36"/>
    </row>
    <row r="471" spans="4:4" ht="15.75" customHeight="1">
      <c r="D471" s="36"/>
    </row>
    <row r="472" spans="4:4" ht="15.75" customHeight="1">
      <c r="D472" s="36"/>
    </row>
    <row r="473" spans="4:4" ht="15.75" customHeight="1">
      <c r="D473" s="36"/>
    </row>
    <row r="474" spans="4:4" ht="15.75" customHeight="1">
      <c r="D474" s="36"/>
    </row>
    <row r="475" spans="4:4" ht="15.75" customHeight="1">
      <c r="D475" s="36"/>
    </row>
    <row r="476" spans="4:4" ht="15.75" customHeight="1">
      <c r="D476" s="36"/>
    </row>
    <row r="477" spans="4:4" ht="15.75" customHeight="1">
      <c r="D477" s="36"/>
    </row>
    <row r="478" spans="4:4" ht="15.75" customHeight="1">
      <c r="D478" s="36"/>
    </row>
    <row r="479" spans="4:4" ht="15.75" customHeight="1">
      <c r="D479" s="36"/>
    </row>
    <row r="480" spans="4:4" ht="15.75" customHeight="1">
      <c r="D480" s="36"/>
    </row>
    <row r="481" spans="4:4" ht="15.75" customHeight="1">
      <c r="D481" s="36"/>
    </row>
    <row r="482" spans="4:4" ht="15.75" customHeight="1">
      <c r="D482" s="36"/>
    </row>
    <row r="483" spans="4:4" ht="15.75" customHeight="1">
      <c r="D483" s="36"/>
    </row>
    <row r="484" spans="4:4" ht="15.75" customHeight="1">
      <c r="D484" s="36"/>
    </row>
    <row r="485" spans="4:4" ht="15.75" customHeight="1">
      <c r="D485" s="36"/>
    </row>
    <row r="486" spans="4:4" ht="15.75" customHeight="1">
      <c r="D486" s="36"/>
    </row>
    <row r="487" spans="4:4" ht="15.75" customHeight="1">
      <c r="D487" s="36"/>
    </row>
    <row r="488" spans="4:4" ht="15.75" customHeight="1">
      <c r="D488" s="36"/>
    </row>
    <row r="489" spans="4:4" ht="15.75" customHeight="1">
      <c r="D489" s="36"/>
    </row>
    <row r="490" spans="4:4" ht="15.75" customHeight="1">
      <c r="D490" s="36"/>
    </row>
    <row r="491" spans="4:4" ht="15.75" customHeight="1">
      <c r="D491" s="36"/>
    </row>
    <row r="492" spans="4:4" ht="15.75" customHeight="1">
      <c r="D492" s="36"/>
    </row>
    <row r="493" spans="4:4" ht="15.75" customHeight="1">
      <c r="D493" s="36"/>
    </row>
    <row r="494" spans="4:4" ht="15.75" customHeight="1">
      <c r="D494" s="36"/>
    </row>
    <row r="495" spans="4:4" ht="15.75" customHeight="1">
      <c r="D495" s="36"/>
    </row>
    <row r="496" spans="4:4" ht="15.75" customHeight="1">
      <c r="D496" s="36"/>
    </row>
    <row r="497" spans="4:4" ht="15.75" customHeight="1">
      <c r="D497" s="36"/>
    </row>
    <row r="498" spans="4:4" ht="15.75" customHeight="1">
      <c r="D498" s="36"/>
    </row>
    <row r="499" spans="4:4" ht="15.75" customHeight="1">
      <c r="D499" s="36"/>
    </row>
    <row r="500" spans="4:4" ht="15.75" customHeight="1">
      <c r="D500" s="36"/>
    </row>
    <row r="501" spans="4:4" ht="15.75" customHeight="1">
      <c r="D501" s="36"/>
    </row>
    <row r="502" spans="4:4" ht="15.75" customHeight="1">
      <c r="D502" s="36"/>
    </row>
    <row r="503" spans="4:4" ht="15.75" customHeight="1">
      <c r="D503" s="36"/>
    </row>
    <row r="504" spans="4:4" ht="15.75" customHeight="1">
      <c r="D504" s="36"/>
    </row>
    <row r="505" spans="4:4" ht="15.75" customHeight="1">
      <c r="D505" s="36"/>
    </row>
    <row r="506" spans="4:4" ht="15.75" customHeight="1">
      <c r="D506" s="36"/>
    </row>
    <row r="507" spans="4:4" ht="15.75" customHeight="1">
      <c r="D507" s="36"/>
    </row>
    <row r="508" spans="4:4" ht="15.75" customHeight="1">
      <c r="D508" s="36"/>
    </row>
    <row r="509" spans="4:4" ht="15.75" customHeight="1">
      <c r="D509" s="36"/>
    </row>
    <row r="510" spans="4:4" ht="15.75" customHeight="1">
      <c r="D510" s="36"/>
    </row>
    <row r="511" spans="4:4" ht="15.75" customHeight="1">
      <c r="D511" s="36"/>
    </row>
    <row r="512" spans="4:4" ht="15.75" customHeight="1">
      <c r="D512" s="36"/>
    </row>
    <row r="513" spans="4:4" ht="15.75" customHeight="1">
      <c r="D513" s="36"/>
    </row>
    <row r="514" spans="4:4" ht="15.75" customHeight="1">
      <c r="D514" s="36"/>
    </row>
    <row r="515" spans="4:4" ht="15.75" customHeight="1">
      <c r="D515" s="36"/>
    </row>
    <row r="516" spans="4:4" ht="15.75" customHeight="1">
      <c r="D516" s="36"/>
    </row>
    <row r="517" spans="4:4" ht="15.75" customHeight="1">
      <c r="D517" s="36"/>
    </row>
    <row r="518" spans="4:4" ht="15.75" customHeight="1">
      <c r="D518" s="36"/>
    </row>
    <row r="519" spans="4:4" ht="15.75" customHeight="1">
      <c r="D519" s="36"/>
    </row>
    <row r="520" spans="4:4" ht="15.75" customHeight="1">
      <c r="D520" s="36"/>
    </row>
    <row r="521" spans="4:4" ht="15.75" customHeight="1">
      <c r="D521" s="36"/>
    </row>
    <row r="522" spans="4:4" ht="15.75" customHeight="1">
      <c r="D522" s="36"/>
    </row>
    <row r="523" spans="4:4" ht="15.75" customHeight="1">
      <c r="D523" s="36"/>
    </row>
    <row r="524" spans="4:4" ht="15.75" customHeight="1">
      <c r="D524" s="36"/>
    </row>
    <row r="525" spans="4:4" ht="15.75" customHeight="1">
      <c r="D525" s="36"/>
    </row>
    <row r="526" spans="4:4" ht="15.75" customHeight="1">
      <c r="D526" s="36"/>
    </row>
    <row r="527" spans="4:4" ht="15.75" customHeight="1">
      <c r="D527" s="36"/>
    </row>
    <row r="528" spans="4:4" ht="15.75" customHeight="1">
      <c r="D528" s="36"/>
    </row>
    <row r="529" spans="4:4" ht="15.75" customHeight="1">
      <c r="D529" s="36"/>
    </row>
    <row r="530" spans="4:4" ht="15.75" customHeight="1">
      <c r="D530" s="36"/>
    </row>
    <row r="531" spans="4:4" ht="15.75" customHeight="1">
      <c r="D531" s="36"/>
    </row>
    <row r="532" spans="4:4" ht="15.75" customHeight="1">
      <c r="D532" s="36"/>
    </row>
    <row r="533" spans="4:4" ht="15.75" customHeight="1">
      <c r="D533" s="36"/>
    </row>
    <row r="534" spans="4:4" ht="15.75" customHeight="1">
      <c r="D534" s="36"/>
    </row>
    <row r="535" spans="4:4" ht="15.75" customHeight="1">
      <c r="D535" s="36"/>
    </row>
    <row r="536" spans="4:4" ht="15.75" customHeight="1">
      <c r="D536" s="36"/>
    </row>
    <row r="537" spans="4:4" ht="15.75" customHeight="1">
      <c r="D537" s="36"/>
    </row>
    <row r="538" spans="4:4" ht="15.75" customHeight="1">
      <c r="D538" s="36"/>
    </row>
    <row r="539" spans="4:4" ht="15.75" customHeight="1">
      <c r="D539" s="36"/>
    </row>
    <row r="540" spans="4:4" ht="15.75" customHeight="1">
      <c r="D540" s="36"/>
    </row>
    <row r="541" spans="4:4" ht="15.75" customHeight="1">
      <c r="D541" s="36"/>
    </row>
    <row r="542" spans="4:4" ht="15.75" customHeight="1">
      <c r="D542" s="36"/>
    </row>
    <row r="543" spans="4:4" ht="15.75" customHeight="1">
      <c r="D543" s="36"/>
    </row>
    <row r="544" spans="4:4" ht="15.75" customHeight="1">
      <c r="D544" s="36"/>
    </row>
    <row r="545" spans="4:4" ht="15.75" customHeight="1">
      <c r="D545" s="36"/>
    </row>
    <row r="546" spans="4:4" ht="15.75" customHeight="1">
      <c r="D546" s="36"/>
    </row>
    <row r="547" spans="4:4" ht="15.75" customHeight="1">
      <c r="D547" s="36"/>
    </row>
    <row r="548" spans="4:4" ht="15.75" customHeight="1">
      <c r="D548" s="36"/>
    </row>
    <row r="549" spans="4:4" ht="15.75" customHeight="1">
      <c r="D549" s="36"/>
    </row>
    <row r="550" spans="4:4" ht="15.75" customHeight="1">
      <c r="D550" s="36"/>
    </row>
    <row r="551" spans="4:4" ht="15.75" customHeight="1">
      <c r="D551" s="36"/>
    </row>
    <row r="552" spans="4:4" ht="15.75" customHeight="1">
      <c r="D552" s="36"/>
    </row>
    <row r="553" spans="4:4" ht="15.75" customHeight="1">
      <c r="D553" s="36"/>
    </row>
    <row r="554" spans="4:4" ht="15.75" customHeight="1">
      <c r="D554" s="36"/>
    </row>
    <row r="555" spans="4:4" ht="15.75" customHeight="1">
      <c r="D555" s="36"/>
    </row>
    <row r="556" spans="4:4" ht="15.75" customHeight="1">
      <c r="D556" s="36"/>
    </row>
    <row r="557" spans="4:4" ht="15.75" customHeight="1">
      <c r="D557" s="36"/>
    </row>
    <row r="558" spans="4:4" ht="15.75" customHeight="1">
      <c r="D558" s="36"/>
    </row>
    <row r="559" spans="4:4" ht="15.75" customHeight="1">
      <c r="D559" s="36"/>
    </row>
    <row r="560" spans="4:4" ht="15.75" customHeight="1">
      <c r="D560" s="36"/>
    </row>
    <row r="561" spans="4:4" ht="15.75" customHeight="1">
      <c r="D561" s="36"/>
    </row>
    <row r="562" spans="4:4" ht="15.75" customHeight="1">
      <c r="D562" s="36"/>
    </row>
    <row r="563" spans="4:4" ht="15.75" customHeight="1">
      <c r="D563" s="36"/>
    </row>
    <row r="564" spans="4:4" ht="15.75" customHeight="1">
      <c r="D564" s="36"/>
    </row>
    <row r="565" spans="4:4" ht="15.75" customHeight="1">
      <c r="D565" s="36"/>
    </row>
    <row r="566" spans="4:4" ht="15.75" customHeight="1">
      <c r="D566" s="36"/>
    </row>
    <row r="567" spans="4:4" ht="15.75" customHeight="1">
      <c r="D567" s="36"/>
    </row>
    <row r="568" spans="4:4" ht="15.75" customHeight="1">
      <c r="D568" s="36"/>
    </row>
    <row r="569" spans="4:4" ht="15.75" customHeight="1">
      <c r="D569" s="36"/>
    </row>
    <row r="570" spans="4:4" ht="15.75" customHeight="1">
      <c r="D570" s="36"/>
    </row>
    <row r="571" spans="4:4" ht="15.75" customHeight="1">
      <c r="D571" s="36"/>
    </row>
    <row r="572" spans="4:4" ht="15.75" customHeight="1">
      <c r="D572" s="36"/>
    </row>
    <row r="573" spans="4:4" ht="15.75" customHeight="1">
      <c r="D573" s="36"/>
    </row>
    <row r="574" spans="4:4" ht="15.75" customHeight="1">
      <c r="D574" s="36"/>
    </row>
    <row r="575" spans="4:4" ht="15.75" customHeight="1">
      <c r="D575" s="36"/>
    </row>
    <row r="576" spans="4:4" ht="15.75" customHeight="1">
      <c r="D576" s="36"/>
    </row>
    <row r="577" spans="4:4" ht="15.75" customHeight="1">
      <c r="D577" s="36"/>
    </row>
    <row r="578" spans="4:4" ht="15.75" customHeight="1">
      <c r="D578" s="36"/>
    </row>
    <row r="579" spans="4:4" ht="15.75" customHeight="1">
      <c r="D579" s="36"/>
    </row>
    <row r="580" spans="4:4" ht="15.75" customHeight="1">
      <c r="D580" s="36"/>
    </row>
    <row r="581" spans="4:4" ht="15.75" customHeight="1">
      <c r="D581" s="36"/>
    </row>
    <row r="582" spans="4:4" ht="15.75" customHeight="1">
      <c r="D582" s="36"/>
    </row>
    <row r="583" spans="4:4" ht="15.75" customHeight="1">
      <c r="D583" s="36"/>
    </row>
    <row r="584" spans="4:4" ht="15.75" customHeight="1">
      <c r="D584" s="36"/>
    </row>
    <row r="585" spans="4:4" ht="15.75" customHeight="1">
      <c r="D585" s="36"/>
    </row>
    <row r="586" spans="4:4" ht="15.75" customHeight="1">
      <c r="D586" s="36"/>
    </row>
    <row r="587" spans="4:4" ht="15.75" customHeight="1">
      <c r="D587" s="36"/>
    </row>
    <row r="588" spans="4:4" ht="15.75" customHeight="1">
      <c r="D588" s="36"/>
    </row>
    <row r="589" spans="4:4" ht="15.75" customHeight="1">
      <c r="D589" s="36"/>
    </row>
    <row r="590" spans="4:4" ht="15.75" customHeight="1">
      <c r="D590" s="36"/>
    </row>
    <row r="591" spans="4:4" ht="15.75" customHeight="1">
      <c r="D591" s="36"/>
    </row>
    <row r="592" spans="4:4" ht="15.75" customHeight="1">
      <c r="D592" s="36"/>
    </row>
    <row r="593" spans="4:4" ht="15.75" customHeight="1">
      <c r="D593" s="36"/>
    </row>
    <row r="594" spans="4:4" ht="15.75" customHeight="1">
      <c r="D594" s="36"/>
    </row>
    <row r="595" spans="4:4" ht="15.75" customHeight="1">
      <c r="D595" s="36"/>
    </row>
    <row r="596" spans="4:4" ht="15.75" customHeight="1">
      <c r="D596" s="36"/>
    </row>
    <row r="597" spans="4:4" ht="15.75" customHeight="1">
      <c r="D597" s="36"/>
    </row>
    <row r="598" spans="4:4" ht="15.75" customHeight="1">
      <c r="D598" s="36"/>
    </row>
    <row r="599" spans="4:4" ht="15.75" customHeight="1">
      <c r="D599" s="36"/>
    </row>
    <row r="600" spans="4:4" ht="15.75" customHeight="1">
      <c r="D600" s="36"/>
    </row>
    <row r="601" spans="4:4" ht="15.75" customHeight="1">
      <c r="D601" s="36"/>
    </row>
    <row r="602" spans="4:4" ht="15.75" customHeight="1">
      <c r="D602" s="36"/>
    </row>
    <row r="603" spans="4:4" ht="15.75" customHeight="1">
      <c r="D603" s="36"/>
    </row>
    <row r="604" spans="4:4" ht="15.75" customHeight="1">
      <c r="D604" s="36"/>
    </row>
    <row r="605" spans="4:4" ht="15.75" customHeight="1">
      <c r="D605" s="36"/>
    </row>
    <row r="606" spans="4:4" ht="15.75" customHeight="1">
      <c r="D606" s="36"/>
    </row>
    <row r="607" spans="4:4" ht="15.75" customHeight="1">
      <c r="D607" s="36"/>
    </row>
    <row r="608" spans="4:4" ht="15.75" customHeight="1">
      <c r="D608" s="36"/>
    </row>
    <row r="609" spans="4:4" ht="15.75" customHeight="1">
      <c r="D609" s="36"/>
    </row>
    <row r="610" spans="4:4" ht="15.75" customHeight="1">
      <c r="D610" s="36"/>
    </row>
    <row r="611" spans="4:4" ht="15.75" customHeight="1">
      <c r="D611" s="36"/>
    </row>
    <row r="612" spans="4:4" ht="15.75" customHeight="1">
      <c r="D612" s="36"/>
    </row>
    <row r="613" spans="4:4" ht="15.75" customHeight="1">
      <c r="D613" s="36"/>
    </row>
    <row r="614" spans="4:4" ht="15.75" customHeight="1">
      <c r="D614" s="36"/>
    </row>
    <row r="615" spans="4:4" ht="15.75" customHeight="1">
      <c r="D615" s="36"/>
    </row>
    <row r="616" spans="4:4" ht="15.75" customHeight="1">
      <c r="D616" s="36"/>
    </row>
    <row r="617" spans="4:4" ht="15.75" customHeight="1">
      <c r="D617" s="36"/>
    </row>
    <row r="618" spans="4:4" ht="15.75" customHeight="1">
      <c r="D618" s="36"/>
    </row>
    <row r="619" spans="4:4" ht="15.75" customHeight="1">
      <c r="D619" s="36"/>
    </row>
    <row r="620" spans="4:4" ht="15.75" customHeight="1">
      <c r="D620" s="36"/>
    </row>
    <row r="621" spans="4:4" ht="15.75" customHeight="1">
      <c r="D621" s="36"/>
    </row>
    <row r="622" spans="4:4" ht="15.75" customHeight="1">
      <c r="D622" s="36"/>
    </row>
    <row r="623" spans="4:4" ht="15.75" customHeight="1">
      <c r="D623" s="36"/>
    </row>
    <row r="624" spans="4:4" ht="15.75" customHeight="1">
      <c r="D624" s="36"/>
    </row>
    <row r="625" spans="4:4" ht="15.75" customHeight="1">
      <c r="D625" s="36"/>
    </row>
    <row r="626" spans="4:4" ht="15.75" customHeight="1">
      <c r="D626" s="36"/>
    </row>
    <row r="627" spans="4:4" ht="15.75" customHeight="1">
      <c r="D627" s="36"/>
    </row>
    <row r="628" spans="4:4" ht="15.75" customHeight="1">
      <c r="D628" s="36"/>
    </row>
    <row r="629" spans="4:4" ht="15.75" customHeight="1">
      <c r="D629" s="36"/>
    </row>
    <row r="630" spans="4:4" ht="15.75" customHeight="1">
      <c r="D630" s="36"/>
    </row>
    <row r="631" spans="4:4" ht="15.75" customHeight="1">
      <c r="D631" s="36"/>
    </row>
    <row r="632" spans="4:4" ht="15.75" customHeight="1">
      <c r="D632" s="36"/>
    </row>
    <row r="633" spans="4:4" ht="15.75" customHeight="1">
      <c r="D633" s="36"/>
    </row>
    <row r="634" spans="4:4" ht="15.75" customHeight="1">
      <c r="D634" s="36"/>
    </row>
    <row r="635" spans="4:4" ht="15.75" customHeight="1">
      <c r="D635" s="36"/>
    </row>
    <row r="636" spans="4:4" ht="15.75" customHeight="1">
      <c r="D636" s="36"/>
    </row>
    <row r="637" spans="4:4" ht="15.75" customHeight="1">
      <c r="D637" s="36"/>
    </row>
    <row r="638" spans="4:4" ht="15.75" customHeight="1">
      <c r="D638" s="36"/>
    </row>
    <row r="639" spans="4:4" ht="15.75" customHeight="1">
      <c r="D639" s="36"/>
    </row>
    <row r="640" spans="4:4" ht="15.75" customHeight="1">
      <c r="D640" s="36"/>
    </row>
    <row r="641" spans="4:4" ht="15.75" customHeight="1">
      <c r="D641" s="36"/>
    </row>
    <row r="642" spans="4:4" ht="15.75" customHeight="1">
      <c r="D642" s="36"/>
    </row>
    <row r="643" spans="4:4" ht="15.75" customHeight="1">
      <c r="D643" s="36"/>
    </row>
    <row r="644" spans="4:4" ht="15.75" customHeight="1">
      <c r="D644" s="36"/>
    </row>
    <row r="645" spans="4:4" ht="15.75" customHeight="1">
      <c r="D645" s="36"/>
    </row>
    <row r="646" spans="4:4" ht="15.75" customHeight="1">
      <c r="D646" s="36"/>
    </row>
    <row r="647" spans="4:4" ht="15.75" customHeight="1">
      <c r="D647" s="36"/>
    </row>
    <row r="648" spans="4:4" ht="15.75" customHeight="1">
      <c r="D648" s="36"/>
    </row>
    <row r="649" spans="4:4" ht="15.75" customHeight="1">
      <c r="D649" s="36"/>
    </row>
    <row r="650" spans="4:4" ht="15.75" customHeight="1">
      <c r="D650" s="36"/>
    </row>
    <row r="651" spans="4:4" ht="15.75" customHeight="1">
      <c r="D651" s="36"/>
    </row>
    <row r="652" spans="4:4" ht="15.75" customHeight="1">
      <c r="D652" s="36"/>
    </row>
    <row r="653" spans="4:4" ht="15.75" customHeight="1">
      <c r="D653" s="36"/>
    </row>
    <row r="654" spans="4:4" ht="15.75" customHeight="1">
      <c r="D654" s="36"/>
    </row>
    <row r="655" spans="4:4" ht="15.75" customHeight="1">
      <c r="D655" s="36"/>
    </row>
    <row r="656" spans="4:4" ht="15.75" customHeight="1">
      <c r="D656" s="36"/>
    </row>
    <row r="657" spans="4:4" ht="15.75" customHeight="1">
      <c r="D657" s="36"/>
    </row>
    <row r="658" spans="4:4" ht="15.75" customHeight="1">
      <c r="D658" s="36"/>
    </row>
    <row r="659" spans="4:4" ht="15.75" customHeight="1">
      <c r="D659" s="36"/>
    </row>
    <row r="660" spans="4:4" ht="15.75" customHeight="1">
      <c r="D660" s="36"/>
    </row>
    <row r="661" spans="4:4" ht="15.75" customHeight="1">
      <c r="D661" s="36"/>
    </row>
    <row r="662" spans="4:4" ht="15.75" customHeight="1">
      <c r="D662" s="36"/>
    </row>
    <row r="663" spans="4:4" ht="15.75" customHeight="1">
      <c r="D663" s="36"/>
    </row>
    <row r="664" spans="4:4" ht="15.75" customHeight="1">
      <c r="D664" s="36"/>
    </row>
    <row r="665" spans="4:4" ht="15.75" customHeight="1">
      <c r="D665" s="36"/>
    </row>
    <row r="666" spans="4:4" ht="15.75" customHeight="1">
      <c r="D666" s="36"/>
    </row>
    <row r="667" spans="4:4" ht="15.75" customHeight="1">
      <c r="D667" s="36"/>
    </row>
    <row r="668" spans="4:4" ht="15.75" customHeight="1">
      <c r="D668" s="36"/>
    </row>
    <row r="669" spans="4:4" ht="15.75" customHeight="1">
      <c r="D669" s="36"/>
    </row>
    <row r="670" spans="4:4" ht="15.75" customHeight="1">
      <c r="D670" s="36"/>
    </row>
    <row r="671" spans="4:4" ht="15.75" customHeight="1">
      <c r="D671" s="36"/>
    </row>
    <row r="672" spans="4:4" ht="15.75" customHeight="1">
      <c r="D672" s="36"/>
    </row>
    <row r="673" spans="4:4" ht="15.75" customHeight="1">
      <c r="D673" s="36"/>
    </row>
    <row r="674" spans="4:4" ht="15.75" customHeight="1">
      <c r="D674" s="36"/>
    </row>
    <row r="675" spans="4:4" ht="15.75" customHeight="1">
      <c r="D675" s="36"/>
    </row>
    <row r="676" spans="4:4" ht="15.75" customHeight="1">
      <c r="D676" s="36"/>
    </row>
    <row r="677" spans="4:4" ht="15.75" customHeight="1">
      <c r="D677" s="36"/>
    </row>
    <row r="678" spans="4:4" ht="15.75" customHeight="1">
      <c r="D678" s="36"/>
    </row>
    <row r="679" spans="4:4" ht="15.75" customHeight="1">
      <c r="D679" s="36"/>
    </row>
    <row r="680" spans="4:4" ht="15.75" customHeight="1">
      <c r="D680" s="36"/>
    </row>
    <row r="681" spans="4:4" ht="15.75" customHeight="1">
      <c r="D681" s="36"/>
    </row>
    <row r="682" spans="4:4" ht="15.75" customHeight="1">
      <c r="D682" s="36"/>
    </row>
    <row r="683" spans="4:4" ht="15.75" customHeight="1">
      <c r="D683" s="36"/>
    </row>
    <row r="684" spans="4:4" ht="15.75" customHeight="1">
      <c r="D684" s="36"/>
    </row>
    <row r="685" spans="4:4" ht="15.75" customHeight="1">
      <c r="D685" s="36"/>
    </row>
    <row r="686" spans="4:4" ht="15.75" customHeight="1">
      <c r="D686" s="36"/>
    </row>
    <row r="687" spans="4:4" ht="15.75" customHeight="1">
      <c r="D687" s="36"/>
    </row>
    <row r="688" spans="4:4" ht="15.75" customHeight="1">
      <c r="D688" s="36"/>
    </row>
    <row r="689" spans="4:4" ht="15.75" customHeight="1">
      <c r="D689" s="36"/>
    </row>
    <row r="690" spans="4:4" ht="15.75" customHeight="1">
      <c r="D690" s="36"/>
    </row>
    <row r="691" spans="4:4" ht="15.75" customHeight="1">
      <c r="D691" s="36"/>
    </row>
    <row r="692" spans="4:4" ht="15.75" customHeight="1">
      <c r="D692" s="36"/>
    </row>
    <row r="693" spans="4:4" ht="15.75" customHeight="1">
      <c r="D693" s="36"/>
    </row>
    <row r="694" spans="4:4" ht="15.75" customHeight="1">
      <c r="D694" s="36"/>
    </row>
    <row r="695" spans="4:4" ht="15.75" customHeight="1">
      <c r="D695" s="36"/>
    </row>
    <row r="696" spans="4:4" ht="15.75" customHeight="1">
      <c r="D696" s="36"/>
    </row>
    <row r="697" spans="4:4" ht="15.75" customHeight="1">
      <c r="D697" s="36"/>
    </row>
    <row r="698" spans="4:4" ht="15.75" customHeight="1">
      <c r="D698" s="36"/>
    </row>
    <row r="699" spans="4:4" ht="15.75" customHeight="1">
      <c r="D699" s="36"/>
    </row>
    <row r="700" spans="4:4" ht="15.75" customHeight="1">
      <c r="D700" s="36"/>
    </row>
    <row r="701" spans="4:4" ht="15.75" customHeight="1">
      <c r="D701" s="36"/>
    </row>
    <row r="702" spans="4:4" ht="15.75" customHeight="1">
      <c r="D702" s="36"/>
    </row>
    <row r="703" spans="4:4" ht="15.75" customHeight="1">
      <c r="D703" s="36"/>
    </row>
    <row r="704" spans="4:4" ht="15.75" customHeight="1">
      <c r="D704" s="36"/>
    </row>
    <row r="705" spans="4:4" ht="15.75" customHeight="1">
      <c r="D705" s="36"/>
    </row>
    <row r="706" spans="4:4" ht="15.75" customHeight="1">
      <c r="D706" s="36"/>
    </row>
    <row r="707" spans="4:4" ht="15.75" customHeight="1">
      <c r="D707" s="36"/>
    </row>
    <row r="708" spans="4:4" ht="15.75" customHeight="1">
      <c r="D708" s="36"/>
    </row>
    <row r="709" spans="4:4" ht="15.75" customHeight="1">
      <c r="D709" s="36"/>
    </row>
    <row r="710" spans="4:4" ht="15.75" customHeight="1">
      <c r="D710" s="36"/>
    </row>
    <row r="711" spans="4:4" ht="15.75" customHeight="1">
      <c r="D711" s="36"/>
    </row>
    <row r="712" spans="4:4" ht="15.75" customHeight="1">
      <c r="D712" s="36"/>
    </row>
    <row r="713" spans="4:4" ht="15.75" customHeight="1">
      <c r="D713" s="36"/>
    </row>
    <row r="714" spans="4:4" ht="15.75" customHeight="1">
      <c r="D714" s="36"/>
    </row>
    <row r="715" spans="4:4" ht="15.75" customHeight="1">
      <c r="D715" s="36"/>
    </row>
    <row r="716" spans="4:4" ht="15.75" customHeight="1">
      <c r="D716" s="36"/>
    </row>
    <row r="717" spans="4:4" ht="15.75" customHeight="1">
      <c r="D717" s="36"/>
    </row>
    <row r="718" spans="4:4" ht="15.75" customHeight="1">
      <c r="D718" s="36"/>
    </row>
    <row r="719" spans="4:4" ht="15.75" customHeight="1">
      <c r="D719" s="36"/>
    </row>
    <row r="720" spans="4:4" ht="15.75" customHeight="1">
      <c r="D720" s="36"/>
    </row>
    <row r="721" spans="4:4" ht="15.75" customHeight="1">
      <c r="D721" s="36"/>
    </row>
    <row r="722" spans="4:4" ht="15.75" customHeight="1">
      <c r="D722" s="36"/>
    </row>
    <row r="723" spans="4:4" ht="15.75" customHeight="1">
      <c r="D723" s="36"/>
    </row>
    <row r="724" spans="4:4" ht="15.75" customHeight="1">
      <c r="D724" s="36"/>
    </row>
    <row r="725" spans="4:4" ht="15.75" customHeight="1">
      <c r="D725" s="36"/>
    </row>
    <row r="726" spans="4:4" ht="15.75" customHeight="1">
      <c r="D726" s="36"/>
    </row>
    <row r="727" spans="4:4" ht="15.75" customHeight="1">
      <c r="D727" s="36"/>
    </row>
    <row r="728" spans="4:4" ht="15.75" customHeight="1">
      <c r="D728" s="36"/>
    </row>
    <row r="729" spans="4:4" ht="15.75" customHeight="1">
      <c r="D729" s="36"/>
    </row>
    <row r="730" spans="4:4" ht="15.75" customHeight="1">
      <c r="D730" s="36"/>
    </row>
    <row r="731" spans="4:4" ht="15.75" customHeight="1">
      <c r="D731" s="36"/>
    </row>
    <row r="732" spans="4:4" ht="15.75" customHeight="1">
      <c r="D732" s="36"/>
    </row>
    <row r="733" spans="4:4" ht="15.75" customHeight="1">
      <c r="D733" s="36"/>
    </row>
    <row r="734" spans="4:4" ht="15.75" customHeight="1">
      <c r="D734" s="36"/>
    </row>
    <row r="735" spans="4:4" ht="15.75" customHeight="1">
      <c r="D735" s="36"/>
    </row>
    <row r="736" spans="4:4" ht="15.75" customHeight="1">
      <c r="D736" s="36"/>
    </row>
    <row r="737" spans="4:4" ht="15.75" customHeight="1">
      <c r="D737" s="36"/>
    </row>
    <row r="738" spans="4:4" ht="15.75" customHeight="1">
      <c r="D738" s="36"/>
    </row>
    <row r="739" spans="4:4" ht="15.75" customHeight="1">
      <c r="D739" s="36"/>
    </row>
    <row r="740" spans="4:4" ht="15.75" customHeight="1">
      <c r="D740" s="36"/>
    </row>
    <row r="741" spans="4:4" ht="15.75" customHeight="1">
      <c r="D741" s="36"/>
    </row>
    <row r="742" spans="4:4" ht="15.75" customHeight="1">
      <c r="D742" s="36"/>
    </row>
    <row r="743" spans="4:4" ht="15.75" customHeight="1">
      <c r="D743" s="36"/>
    </row>
    <row r="744" spans="4:4" ht="15.75" customHeight="1">
      <c r="D744" s="36"/>
    </row>
    <row r="745" spans="4:4" ht="15.75" customHeight="1">
      <c r="D745" s="36"/>
    </row>
    <row r="746" spans="4:4" ht="15.75" customHeight="1">
      <c r="D746" s="36"/>
    </row>
    <row r="747" spans="4:4" ht="15.75" customHeight="1">
      <c r="D747" s="36"/>
    </row>
    <row r="748" spans="4:4" ht="15.75" customHeight="1">
      <c r="D748" s="36"/>
    </row>
    <row r="749" spans="4:4" ht="15.75" customHeight="1">
      <c r="D749" s="36"/>
    </row>
    <row r="750" spans="4:4" ht="15.75" customHeight="1">
      <c r="D750" s="36"/>
    </row>
    <row r="751" spans="4:4" ht="15.75" customHeight="1">
      <c r="D751" s="36"/>
    </row>
    <row r="752" spans="4:4" ht="15.75" customHeight="1">
      <c r="D752" s="36"/>
    </row>
    <row r="753" spans="4:4" ht="15.75" customHeight="1">
      <c r="D753" s="36"/>
    </row>
    <row r="754" spans="4:4" ht="15.75" customHeight="1">
      <c r="D754" s="36"/>
    </row>
    <row r="755" spans="4:4" ht="15.75" customHeight="1">
      <c r="D755" s="36"/>
    </row>
    <row r="756" spans="4:4" ht="15.75" customHeight="1">
      <c r="D756" s="36"/>
    </row>
    <row r="757" spans="4:4" ht="15.75" customHeight="1">
      <c r="D757" s="36"/>
    </row>
    <row r="758" spans="4:4" ht="15.75" customHeight="1">
      <c r="D758" s="36"/>
    </row>
    <row r="759" spans="4:4" ht="15.75" customHeight="1">
      <c r="D759" s="36"/>
    </row>
    <row r="760" spans="4:4" ht="15.75" customHeight="1">
      <c r="D760" s="36"/>
    </row>
    <row r="761" spans="4:4" ht="15.75" customHeight="1">
      <c r="D761" s="36"/>
    </row>
    <row r="762" spans="4:4" ht="15.75" customHeight="1">
      <c r="D762" s="36"/>
    </row>
    <row r="763" spans="4:4" ht="15.75" customHeight="1">
      <c r="D763" s="36"/>
    </row>
    <row r="764" spans="4:4" ht="15.75" customHeight="1">
      <c r="D764" s="36"/>
    </row>
    <row r="765" spans="4:4" ht="15.75" customHeight="1">
      <c r="D765" s="36"/>
    </row>
    <row r="766" spans="4:4" ht="15.75" customHeight="1">
      <c r="D766" s="36"/>
    </row>
    <row r="767" spans="4:4" ht="15.75" customHeight="1">
      <c r="D767" s="36"/>
    </row>
    <row r="768" spans="4:4" ht="15.75" customHeight="1">
      <c r="D768" s="36"/>
    </row>
    <row r="769" spans="4:4" ht="15.75" customHeight="1">
      <c r="D769" s="36"/>
    </row>
    <row r="770" spans="4:4" ht="15.75" customHeight="1">
      <c r="D770" s="36"/>
    </row>
    <row r="771" spans="4:4" ht="15.75" customHeight="1">
      <c r="D771" s="36"/>
    </row>
    <row r="772" spans="4:4" ht="15.75" customHeight="1">
      <c r="D772" s="36"/>
    </row>
    <row r="773" spans="4:4" ht="15.75" customHeight="1">
      <c r="D773" s="36"/>
    </row>
    <row r="774" spans="4:4" ht="15.75" customHeight="1">
      <c r="D774" s="36"/>
    </row>
    <row r="775" spans="4:4" ht="15.75" customHeight="1">
      <c r="D775" s="36"/>
    </row>
    <row r="776" spans="4:4" ht="15.75" customHeight="1">
      <c r="D776" s="36"/>
    </row>
    <row r="777" spans="4:4" ht="15.75" customHeight="1">
      <c r="D777" s="36"/>
    </row>
    <row r="778" spans="4:4" ht="15.75" customHeight="1">
      <c r="D778" s="36"/>
    </row>
    <row r="779" spans="4:4" ht="15.75" customHeight="1">
      <c r="D779" s="36"/>
    </row>
    <row r="780" spans="4:4" ht="15.75" customHeight="1">
      <c r="D780" s="36"/>
    </row>
    <row r="781" spans="4:4" ht="15.75" customHeight="1">
      <c r="D781" s="36"/>
    </row>
    <row r="782" spans="4:4" ht="15.75" customHeight="1">
      <c r="D782" s="36"/>
    </row>
    <row r="783" spans="4:4" ht="15.75" customHeight="1">
      <c r="D783" s="36"/>
    </row>
    <row r="784" spans="4:4" ht="15.75" customHeight="1">
      <c r="D784" s="36"/>
    </row>
    <row r="785" spans="4:4" ht="15.75" customHeight="1">
      <c r="D785" s="36"/>
    </row>
    <row r="786" spans="4:4" ht="15.75" customHeight="1">
      <c r="D786" s="36"/>
    </row>
    <row r="787" spans="4:4" ht="15.75" customHeight="1">
      <c r="D787" s="36"/>
    </row>
    <row r="788" spans="4:4" ht="15.75" customHeight="1">
      <c r="D788" s="36"/>
    </row>
    <row r="789" spans="4:4" ht="15.75" customHeight="1">
      <c r="D789" s="36"/>
    </row>
    <row r="790" spans="4:4" ht="15.75" customHeight="1">
      <c r="D790" s="36"/>
    </row>
    <row r="791" spans="4:4" ht="15.75" customHeight="1">
      <c r="D791" s="36"/>
    </row>
    <row r="792" spans="4:4" ht="15.75" customHeight="1">
      <c r="D792" s="36"/>
    </row>
    <row r="793" spans="4:4" ht="15.75" customHeight="1">
      <c r="D793" s="36"/>
    </row>
    <row r="794" spans="4:4" ht="15.75" customHeight="1">
      <c r="D794" s="36"/>
    </row>
    <row r="795" spans="4:4" ht="15.75" customHeight="1">
      <c r="D795" s="36"/>
    </row>
    <row r="796" spans="4:4" ht="15.75" customHeight="1">
      <c r="D796" s="36"/>
    </row>
    <row r="797" spans="4:4" ht="15.75" customHeight="1">
      <c r="D797" s="36"/>
    </row>
    <row r="798" spans="4:4" ht="15.75" customHeight="1">
      <c r="D798" s="36"/>
    </row>
    <row r="799" spans="4:4" ht="15.75" customHeight="1">
      <c r="D799" s="36"/>
    </row>
    <row r="800" spans="4:4" ht="15.75" customHeight="1">
      <c r="D800" s="36"/>
    </row>
    <row r="801" spans="4:4" ht="15.75" customHeight="1">
      <c r="D801" s="36"/>
    </row>
    <row r="802" spans="4:4" ht="15.75" customHeight="1">
      <c r="D802" s="36"/>
    </row>
    <row r="803" spans="4:4" ht="15.75" customHeight="1">
      <c r="D803" s="36"/>
    </row>
    <row r="804" spans="4:4" ht="15.75" customHeight="1">
      <c r="D804" s="36"/>
    </row>
    <row r="805" spans="4:4" ht="15.75" customHeight="1">
      <c r="D805" s="36"/>
    </row>
    <row r="806" spans="4:4" ht="15.75" customHeight="1">
      <c r="D806" s="36"/>
    </row>
    <row r="807" spans="4:4" ht="15.75" customHeight="1">
      <c r="D807" s="36"/>
    </row>
    <row r="808" spans="4:4" ht="15.75" customHeight="1">
      <c r="D808" s="36"/>
    </row>
    <row r="809" spans="4:4" ht="15.75" customHeight="1">
      <c r="D809" s="36"/>
    </row>
    <row r="810" spans="4:4" ht="15.75" customHeight="1">
      <c r="D810" s="36"/>
    </row>
    <row r="811" spans="4:4" ht="15.75" customHeight="1">
      <c r="D811" s="36"/>
    </row>
    <row r="812" spans="4:4" ht="15.75" customHeight="1">
      <c r="D812" s="36"/>
    </row>
    <row r="813" spans="4:4" ht="15.75" customHeight="1">
      <c r="D813" s="36"/>
    </row>
    <row r="814" spans="4:4" ht="15.75" customHeight="1">
      <c r="D814" s="36"/>
    </row>
    <row r="815" spans="4:4" ht="15.75" customHeight="1">
      <c r="D815" s="36"/>
    </row>
    <row r="816" spans="4:4" ht="15.75" customHeight="1">
      <c r="D816" s="36"/>
    </row>
    <row r="817" spans="4:4" ht="15.75" customHeight="1">
      <c r="D817" s="36"/>
    </row>
    <row r="818" spans="4:4" ht="15.75" customHeight="1">
      <c r="D818" s="36"/>
    </row>
    <row r="819" spans="4:4" ht="15.75" customHeight="1">
      <c r="D819" s="36"/>
    </row>
    <row r="820" spans="4:4" ht="15.75" customHeight="1">
      <c r="D820" s="36"/>
    </row>
    <row r="821" spans="4:4" ht="15.75" customHeight="1">
      <c r="D821" s="36"/>
    </row>
    <row r="822" spans="4:4" ht="15.75" customHeight="1">
      <c r="D822" s="36"/>
    </row>
    <row r="823" spans="4:4" ht="15.75" customHeight="1">
      <c r="D823" s="36"/>
    </row>
    <row r="824" spans="4:4" ht="15.75" customHeight="1">
      <c r="D824" s="36"/>
    </row>
    <row r="825" spans="4:4" ht="15.75" customHeight="1">
      <c r="D825" s="36"/>
    </row>
    <row r="826" spans="4:4" ht="15.75" customHeight="1">
      <c r="D826" s="36"/>
    </row>
    <row r="827" spans="4:4" ht="15.75" customHeight="1">
      <c r="D827" s="36"/>
    </row>
    <row r="828" spans="4:4" ht="15.75" customHeight="1">
      <c r="D828" s="36"/>
    </row>
    <row r="829" spans="4:4" ht="15.75" customHeight="1">
      <c r="D829" s="36"/>
    </row>
    <row r="830" spans="4:4" ht="15.75" customHeight="1">
      <c r="D830" s="36"/>
    </row>
    <row r="831" spans="4:4" ht="15.75" customHeight="1">
      <c r="D831" s="36"/>
    </row>
    <row r="832" spans="4:4" ht="15.75" customHeight="1">
      <c r="D832" s="36"/>
    </row>
    <row r="833" spans="4:4" ht="15.75" customHeight="1">
      <c r="D833" s="36"/>
    </row>
    <row r="834" spans="4:4" ht="15.75" customHeight="1">
      <c r="D834" s="36"/>
    </row>
    <row r="835" spans="4:4" ht="15.75" customHeight="1">
      <c r="D835" s="36"/>
    </row>
    <row r="836" spans="4:4" ht="15.75" customHeight="1">
      <c r="D836" s="36"/>
    </row>
    <row r="837" spans="4:4" ht="15.75" customHeight="1">
      <c r="D837" s="36"/>
    </row>
    <row r="838" spans="4:4" ht="15.75" customHeight="1">
      <c r="D838" s="36"/>
    </row>
    <row r="839" spans="4:4" ht="15.75" customHeight="1">
      <c r="D839" s="36"/>
    </row>
    <row r="840" spans="4:4" ht="15.75" customHeight="1">
      <c r="D840" s="36"/>
    </row>
    <row r="841" spans="4:4" ht="15.75" customHeight="1">
      <c r="D841" s="36"/>
    </row>
    <row r="842" spans="4:4" ht="15.75" customHeight="1">
      <c r="D842" s="36"/>
    </row>
    <row r="843" spans="4:4" ht="15.75" customHeight="1">
      <c r="D843" s="36"/>
    </row>
    <row r="844" spans="4:4" ht="15.75" customHeight="1">
      <c r="D844" s="36"/>
    </row>
    <row r="845" spans="4:4" ht="15.75" customHeight="1">
      <c r="D845" s="36"/>
    </row>
    <row r="846" spans="4:4" ht="15.75" customHeight="1">
      <c r="D846" s="36"/>
    </row>
    <row r="847" spans="4:4" ht="15.75" customHeight="1">
      <c r="D847" s="36"/>
    </row>
    <row r="848" spans="4:4" ht="15.75" customHeight="1">
      <c r="D848" s="36"/>
    </row>
    <row r="849" spans="4:4" ht="15.75" customHeight="1">
      <c r="D849" s="36"/>
    </row>
    <row r="850" spans="4:4" ht="15.75" customHeight="1">
      <c r="D850" s="36"/>
    </row>
    <row r="851" spans="4:4" ht="15.75" customHeight="1">
      <c r="D851" s="36"/>
    </row>
    <row r="852" spans="4:4" ht="15.75" customHeight="1">
      <c r="D852" s="36"/>
    </row>
    <row r="853" spans="4:4" ht="15.75" customHeight="1">
      <c r="D853" s="36"/>
    </row>
    <row r="854" spans="4:4" ht="15.75" customHeight="1">
      <c r="D854" s="36"/>
    </row>
    <row r="855" spans="4:4" ht="15.75" customHeight="1">
      <c r="D855" s="36"/>
    </row>
    <row r="856" spans="4:4" ht="15.75" customHeight="1">
      <c r="D856" s="36"/>
    </row>
    <row r="857" spans="4:4" ht="15.75" customHeight="1">
      <c r="D857" s="36"/>
    </row>
    <row r="858" spans="4:4" ht="15.75" customHeight="1">
      <c r="D858" s="36"/>
    </row>
    <row r="859" spans="4:4" ht="15.75" customHeight="1">
      <c r="D859" s="36"/>
    </row>
    <row r="860" spans="4:4" ht="15.75" customHeight="1">
      <c r="D860" s="36"/>
    </row>
    <row r="861" spans="4:4" ht="15.75" customHeight="1">
      <c r="D861" s="36"/>
    </row>
    <row r="862" spans="4:4" ht="15.75" customHeight="1">
      <c r="D862" s="36"/>
    </row>
    <row r="863" spans="4:4" ht="15.75" customHeight="1">
      <c r="D863" s="36"/>
    </row>
    <row r="864" spans="4:4" ht="15.75" customHeight="1">
      <c r="D864" s="36"/>
    </row>
    <row r="865" spans="4:4" ht="15.75" customHeight="1">
      <c r="D865" s="36"/>
    </row>
    <row r="866" spans="4:4" ht="15.75" customHeight="1">
      <c r="D866" s="36"/>
    </row>
    <row r="867" spans="4:4" ht="15.75" customHeight="1">
      <c r="D867" s="36"/>
    </row>
    <row r="868" spans="4:4" ht="15.75" customHeight="1">
      <c r="D868" s="36"/>
    </row>
    <row r="869" spans="4:4" ht="15.75" customHeight="1">
      <c r="D869" s="36"/>
    </row>
    <row r="870" spans="4:4" ht="15.75" customHeight="1">
      <c r="D870" s="36"/>
    </row>
    <row r="871" spans="4:4" ht="15.75" customHeight="1">
      <c r="D871" s="36"/>
    </row>
    <row r="872" spans="4:4" ht="15.75" customHeight="1">
      <c r="D872" s="36"/>
    </row>
    <row r="873" spans="4:4" ht="15.75" customHeight="1">
      <c r="D873" s="36"/>
    </row>
    <row r="874" spans="4:4" ht="15.75" customHeight="1">
      <c r="D874" s="36"/>
    </row>
    <row r="875" spans="4:4" ht="15.75" customHeight="1">
      <c r="D875" s="36"/>
    </row>
    <row r="876" spans="4:4" ht="15.75" customHeight="1">
      <c r="D876" s="36"/>
    </row>
    <row r="877" spans="4:4" ht="15.75" customHeight="1">
      <c r="D877" s="36"/>
    </row>
    <row r="878" spans="4:4" ht="15.75" customHeight="1">
      <c r="D878" s="36"/>
    </row>
    <row r="879" spans="4:4" ht="15.75" customHeight="1">
      <c r="D879" s="36"/>
    </row>
    <row r="880" spans="4:4" ht="15.75" customHeight="1">
      <c r="D880" s="36"/>
    </row>
    <row r="881" spans="4:4" ht="15.75" customHeight="1">
      <c r="D881" s="36"/>
    </row>
    <row r="882" spans="4:4" ht="15.75" customHeight="1">
      <c r="D882" s="36"/>
    </row>
    <row r="883" spans="4:4" ht="15.75" customHeight="1">
      <c r="D883" s="36"/>
    </row>
    <row r="884" spans="4:4" ht="15.75" customHeight="1">
      <c r="D884" s="36"/>
    </row>
    <row r="885" spans="4:4" ht="15.75" customHeight="1">
      <c r="D885" s="36"/>
    </row>
    <row r="886" spans="4:4" ht="15.75" customHeight="1">
      <c r="D886" s="36"/>
    </row>
    <row r="887" spans="4:4" ht="15.75" customHeight="1">
      <c r="D887" s="36"/>
    </row>
    <row r="888" spans="4:4" ht="15.75" customHeight="1">
      <c r="D888" s="36"/>
    </row>
    <row r="889" spans="4:4" ht="15.75" customHeight="1">
      <c r="D889" s="36"/>
    </row>
    <row r="890" spans="4:4" ht="15.75" customHeight="1">
      <c r="D890" s="36"/>
    </row>
    <row r="891" spans="4:4" ht="15.75" customHeight="1">
      <c r="D891" s="36"/>
    </row>
    <row r="892" spans="4:4" ht="15.75" customHeight="1">
      <c r="D892" s="36"/>
    </row>
    <row r="893" spans="4:4" ht="15.75" customHeight="1">
      <c r="D893" s="36"/>
    </row>
    <row r="894" spans="4:4" ht="15.75" customHeight="1">
      <c r="D894" s="36"/>
    </row>
    <row r="895" spans="4:4" ht="15.75" customHeight="1">
      <c r="D895" s="36"/>
    </row>
    <row r="896" spans="4:4" ht="15.75" customHeight="1">
      <c r="D896" s="36"/>
    </row>
    <row r="897" spans="4:4" ht="15.75" customHeight="1">
      <c r="D897" s="36"/>
    </row>
    <row r="898" spans="4:4" ht="15.75" customHeight="1">
      <c r="D898" s="36"/>
    </row>
    <row r="899" spans="4:4" ht="15.75" customHeight="1">
      <c r="D899" s="36"/>
    </row>
    <row r="900" spans="4:4" ht="15.75" customHeight="1">
      <c r="D900" s="36"/>
    </row>
    <row r="901" spans="4:4" ht="15.75" customHeight="1">
      <c r="D901" s="36"/>
    </row>
    <row r="902" spans="4:4" ht="15.75" customHeight="1">
      <c r="D902" s="36"/>
    </row>
    <row r="903" spans="4:4" ht="15.75" customHeight="1">
      <c r="D903" s="36"/>
    </row>
    <row r="904" spans="4:4" ht="15.75" customHeight="1">
      <c r="D904" s="36"/>
    </row>
    <row r="905" spans="4:4" ht="15.75" customHeight="1">
      <c r="D905" s="36"/>
    </row>
    <row r="906" spans="4:4" ht="15.75" customHeight="1">
      <c r="D906" s="36"/>
    </row>
    <row r="907" spans="4:4" ht="15.75" customHeight="1">
      <c r="D907" s="36"/>
    </row>
    <row r="908" spans="4:4" ht="15.75" customHeight="1">
      <c r="D908" s="36"/>
    </row>
    <row r="909" spans="4:4" ht="15.75" customHeight="1">
      <c r="D909" s="36"/>
    </row>
    <row r="910" spans="4:4" ht="15.75" customHeight="1">
      <c r="D910" s="36"/>
    </row>
    <row r="911" spans="4:4" ht="15.75" customHeight="1">
      <c r="D911" s="36"/>
    </row>
    <row r="912" spans="4:4" ht="15.75" customHeight="1">
      <c r="D912" s="36"/>
    </row>
    <row r="913" spans="4:4" ht="15.75" customHeight="1">
      <c r="D913" s="36"/>
    </row>
    <row r="914" spans="4:4" ht="15.75" customHeight="1">
      <c r="D914" s="36"/>
    </row>
    <row r="915" spans="4:4" ht="15.75" customHeight="1">
      <c r="D915" s="36"/>
    </row>
    <row r="916" spans="4:4" ht="15.75" customHeight="1">
      <c r="D916" s="36"/>
    </row>
    <row r="917" spans="4:4" ht="15.75" customHeight="1">
      <c r="D917" s="36"/>
    </row>
    <row r="918" spans="4:4" ht="15.75" customHeight="1">
      <c r="D918" s="36"/>
    </row>
    <row r="919" spans="4:4" ht="15.75" customHeight="1">
      <c r="D919" s="36"/>
    </row>
    <row r="920" spans="4:4" ht="15.75" customHeight="1">
      <c r="D920" s="36"/>
    </row>
    <row r="921" spans="4:4" ht="15.75" customHeight="1">
      <c r="D921" s="36"/>
    </row>
    <row r="922" spans="4:4" ht="15.75" customHeight="1">
      <c r="D922" s="36"/>
    </row>
    <row r="923" spans="4:4" ht="15.75" customHeight="1">
      <c r="D923" s="36"/>
    </row>
    <row r="924" spans="4:4" ht="15.75" customHeight="1">
      <c r="D924" s="36"/>
    </row>
    <row r="925" spans="4:4" ht="15.75" customHeight="1">
      <c r="D925" s="36"/>
    </row>
    <row r="926" spans="4:4" ht="15.75" customHeight="1">
      <c r="D926" s="36"/>
    </row>
    <row r="927" spans="4:4" ht="15.75" customHeight="1">
      <c r="D927" s="36"/>
    </row>
    <row r="928" spans="4:4" ht="15.75" customHeight="1">
      <c r="D928" s="36"/>
    </row>
    <row r="929" spans="4:4" ht="15.75" customHeight="1">
      <c r="D929" s="36"/>
    </row>
    <row r="930" spans="4:4" ht="15.75" customHeight="1">
      <c r="D930" s="36"/>
    </row>
    <row r="931" spans="4:4" ht="15.75" customHeight="1">
      <c r="D931" s="36"/>
    </row>
    <row r="932" spans="4:4" ht="15.75" customHeight="1">
      <c r="D932" s="36"/>
    </row>
    <row r="933" spans="4:4" ht="15.75" customHeight="1">
      <c r="D933" s="36"/>
    </row>
    <row r="934" spans="4:4" ht="15.75" customHeight="1">
      <c r="D934" s="36"/>
    </row>
    <row r="935" spans="4:4" ht="15.75" customHeight="1">
      <c r="D935" s="36"/>
    </row>
    <row r="936" spans="4:4" ht="15.75" customHeight="1">
      <c r="D936" s="36"/>
    </row>
    <row r="937" spans="4:4" ht="15.75" customHeight="1">
      <c r="D937" s="36"/>
    </row>
    <row r="938" spans="4:4" ht="15.75" customHeight="1">
      <c r="D938" s="36"/>
    </row>
    <row r="939" spans="4:4" ht="15.75" customHeight="1">
      <c r="D939" s="36"/>
    </row>
    <row r="940" spans="4:4" ht="15.75" customHeight="1">
      <c r="D940" s="36"/>
    </row>
    <row r="941" spans="4:4" ht="15.75" customHeight="1">
      <c r="D941" s="36"/>
    </row>
    <row r="942" spans="4:4" ht="15.75" customHeight="1">
      <c r="D942" s="36"/>
    </row>
    <row r="943" spans="4:4" ht="15.75" customHeight="1">
      <c r="D943" s="36"/>
    </row>
    <row r="944" spans="4:4" ht="15.75" customHeight="1">
      <c r="D944" s="36"/>
    </row>
    <row r="945" spans="4:4" ht="15.75" customHeight="1">
      <c r="D945" s="36"/>
    </row>
    <row r="946" spans="4:4" ht="15.75" customHeight="1">
      <c r="D946" s="36"/>
    </row>
    <row r="947" spans="4:4" ht="15.75" customHeight="1">
      <c r="D947" s="36"/>
    </row>
    <row r="948" spans="4:4" ht="15.75" customHeight="1">
      <c r="D948" s="36"/>
    </row>
    <row r="949" spans="4:4" ht="15.75" customHeight="1">
      <c r="D949" s="36"/>
    </row>
    <row r="950" spans="4:4" ht="15.75" customHeight="1">
      <c r="D950" s="36"/>
    </row>
    <row r="951" spans="4:4" ht="15.75" customHeight="1">
      <c r="D951" s="36"/>
    </row>
    <row r="952" spans="4:4" ht="15.75" customHeight="1">
      <c r="D952" s="36"/>
    </row>
    <row r="953" spans="4:4" ht="15.75" customHeight="1">
      <c r="D953" s="36"/>
    </row>
    <row r="954" spans="4:4" ht="15.75" customHeight="1">
      <c r="D954" s="36"/>
    </row>
    <row r="955" spans="4:4" ht="15.75" customHeight="1">
      <c r="D955" s="36"/>
    </row>
    <row r="956" spans="4:4" ht="15.75" customHeight="1">
      <c r="D956" s="36"/>
    </row>
    <row r="957" spans="4:4" ht="15.75" customHeight="1">
      <c r="D957" s="36"/>
    </row>
    <row r="958" spans="4:4" ht="15.75" customHeight="1">
      <c r="D958" s="36"/>
    </row>
    <row r="959" spans="4:4" ht="15.75" customHeight="1">
      <c r="D959" s="36"/>
    </row>
    <row r="960" spans="4:4" ht="15.75" customHeight="1">
      <c r="D960" s="36"/>
    </row>
    <row r="961" spans="4:4" ht="15.75" customHeight="1">
      <c r="D961" s="36"/>
    </row>
    <row r="962" spans="4:4" ht="15.75" customHeight="1">
      <c r="D962" s="36"/>
    </row>
    <row r="963" spans="4:4" ht="15.75" customHeight="1">
      <c r="D963" s="36"/>
    </row>
    <row r="964" spans="4:4" ht="15.75" customHeight="1">
      <c r="D964" s="36"/>
    </row>
    <row r="965" spans="4:4" ht="15.75" customHeight="1">
      <c r="D965" s="36"/>
    </row>
    <row r="966" spans="4:4" ht="15.75" customHeight="1">
      <c r="D966" s="36"/>
    </row>
    <row r="967" spans="4:4" ht="15.75" customHeight="1">
      <c r="D967" s="36"/>
    </row>
    <row r="968" spans="4:4" ht="15.75" customHeight="1">
      <c r="D968" s="36"/>
    </row>
    <row r="969" spans="4:4" ht="15.75" customHeight="1">
      <c r="D969" s="36"/>
    </row>
    <row r="970" spans="4:4" ht="15.75" customHeight="1">
      <c r="D970" s="36"/>
    </row>
    <row r="971" spans="4:4" ht="15.75" customHeight="1">
      <c r="D971" s="36"/>
    </row>
    <row r="972" spans="4:4" ht="15.75" customHeight="1">
      <c r="D972" s="36"/>
    </row>
    <row r="973" spans="4:4" ht="15.75" customHeight="1">
      <c r="D973" s="36"/>
    </row>
    <row r="974" spans="4:4" ht="15.75" customHeight="1">
      <c r="D974" s="36"/>
    </row>
    <row r="975" spans="4:4" ht="15.75" customHeight="1">
      <c r="D975" s="36"/>
    </row>
    <row r="976" spans="4:4" ht="15.75" customHeight="1">
      <c r="D976" s="36"/>
    </row>
    <row r="977" spans="4:4" ht="15.75" customHeight="1">
      <c r="D977" s="36"/>
    </row>
    <row r="978" spans="4:4" ht="15.75" customHeight="1">
      <c r="D978" s="36"/>
    </row>
    <row r="979" spans="4:4" ht="15.75" customHeight="1">
      <c r="D979" s="36"/>
    </row>
    <row r="980" spans="4:4" ht="15.75" customHeight="1">
      <c r="D980" s="36"/>
    </row>
    <row r="981" spans="4:4" ht="15.75" customHeight="1">
      <c r="D981" s="36"/>
    </row>
    <row r="982" spans="4:4" ht="15.75" customHeight="1">
      <c r="D982" s="36"/>
    </row>
    <row r="983" spans="4:4" ht="15.75" customHeight="1">
      <c r="D983" s="36"/>
    </row>
    <row r="984" spans="4:4" ht="15.75" customHeight="1">
      <c r="D984" s="36"/>
    </row>
    <row r="985" spans="4:4" ht="15.75" customHeight="1">
      <c r="D985" s="36"/>
    </row>
    <row r="986" spans="4:4" ht="15.75" customHeight="1">
      <c r="D986" s="36"/>
    </row>
    <row r="987" spans="4:4" ht="15.75" customHeight="1">
      <c r="D987" s="36"/>
    </row>
    <row r="988" spans="4:4" ht="15.75" customHeight="1">
      <c r="D988" s="36"/>
    </row>
    <row r="989" spans="4:4" ht="15.75" customHeight="1">
      <c r="D989" s="36"/>
    </row>
    <row r="990" spans="4:4" ht="15.75" customHeight="1">
      <c r="D990" s="36"/>
    </row>
    <row r="991" spans="4:4" ht="15.75" customHeight="1">
      <c r="D991" s="36"/>
    </row>
    <row r="992" spans="4:4" ht="15.75" customHeight="1">
      <c r="D992" s="36"/>
    </row>
    <row r="993" spans="4:4" ht="15.75" customHeight="1">
      <c r="D993" s="36"/>
    </row>
    <row r="994" spans="4:4" ht="15.75" customHeight="1">
      <c r="D994" s="36"/>
    </row>
    <row r="995" spans="4:4" ht="15.75" customHeight="1">
      <c r="D995" s="36"/>
    </row>
    <row r="996" spans="4:4" ht="15.75" customHeight="1">
      <c r="D996" s="36"/>
    </row>
    <row r="997" spans="4:4" ht="15.75" customHeight="1">
      <c r="D997" s="36"/>
    </row>
    <row r="998" spans="4:4" ht="15.75" customHeight="1">
      <c r="D998" s="36"/>
    </row>
    <row r="999" spans="4:4" ht="15.75" customHeight="1">
      <c r="D999" s="36"/>
    </row>
    <row r="1000" spans="4:4" ht="15.75" customHeight="1">
      <c r="D1000" s="36"/>
    </row>
    <row r="1001" spans="4:4" ht="15.75" customHeight="1">
      <c r="D1001" s="36"/>
    </row>
    <row r="1002" spans="4:4" ht="15.75" customHeight="1">
      <c r="D1002" s="36"/>
    </row>
    <row r="1003" spans="4:4" ht="15.75" customHeight="1">
      <c r="D1003" s="36"/>
    </row>
    <row r="1004" spans="4:4" ht="15.75" customHeight="1">
      <c r="D1004" s="36"/>
    </row>
    <row r="1005" spans="4:4" ht="15.75" customHeight="1">
      <c r="D1005" s="36"/>
    </row>
    <row r="1006" spans="4:4" ht="15.75" customHeight="1">
      <c r="D1006" s="36"/>
    </row>
    <row r="1007" spans="4:4" ht="15.75" customHeight="1">
      <c r="D1007" s="36"/>
    </row>
    <row r="1008" spans="4:4" ht="15.75" customHeight="1">
      <c r="D1008" s="36"/>
    </row>
    <row r="1009" spans="4:4" ht="15.75" customHeight="1">
      <c r="D1009" s="36"/>
    </row>
    <row r="1010" spans="4:4" ht="15.75" customHeight="1">
      <c r="D1010" s="36"/>
    </row>
    <row r="1011" spans="4:4" ht="15.75" customHeight="1">
      <c r="D1011" s="36"/>
    </row>
    <row r="1012" spans="4:4" ht="15.75" customHeight="1">
      <c r="D1012" s="36"/>
    </row>
    <row r="1013" spans="4:4" ht="15.75" customHeight="1">
      <c r="D1013" s="36"/>
    </row>
    <row r="1014" spans="4:4" ht="15.75" customHeight="1">
      <c r="D1014" s="36"/>
    </row>
    <row r="1015" spans="4:4" ht="15.75" customHeight="1">
      <c r="D1015" s="36"/>
    </row>
  </sheetData>
  <sortState ref="C34:H54">
    <sortCondition ref="C34"/>
  </sortState>
  <mergeCells count="6">
    <mergeCell ref="B55:C55"/>
    <mergeCell ref="B1:H2"/>
    <mergeCell ref="K4:N4"/>
    <mergeCell ref="B16:C16"/>
    <mergeCell ref="B17:B18"/>
    <mergeCell ref="B31:C31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47"/>
  <sheetViews>
    <sheetView topLeftCell="B1" zoomScale="80" zoomScaleNormal="80" workbookViewId="0">
      <selection activeCell="Q16" sqref="Q16"/>
    </sheetView>
  </sheetViews>
  <sheetFormatPr defaultColWidth="14.42578125" defaultRowHeight="15" customHeight="1"/>
  <cols>
    <col min="1" max="1" width="8.7109375" style="62" customWidth="1"/>
    <col min="2" max="2" width="6.140625" style="62" customWidth="1"/>
    <col min="3" max="3" width="32.28515625" style="62" customWidth="1"/>
    <col min="4" max="4" width="18.85546875" style="108" customWidth="1"/>
    <col min="5" max="5" width="12.85546875" style="62" customWidth="1"/>
    <col min="6" max="8" width="14" style="62" customWidth="1"/>
    <col min="9" max="9" width="11.85546875" style="62" customWidth="1"/>
    <col min="10" max="10" width="16.85546875" style="62" customWidth="1"/>
    <col min="11" max="11" width="11.7109375" style="62" customWidth="1"/>
    <col min="12" max="12" width="11.7109375" style="228" customWidth="1"/>
    <col min="13" max="13" width="9.7109375" style="62" customWidth="1"/>
    <col min="14" max="14" width="19.7109375" style="62" customWidth="1"/>
    <col min="15" max="15" width="11.140625" style="62" customWidth="1"/>
    <col min="16" max="16" width="10.140625" style="62" customWidth="1"/>
    <col min="17" max="17" width="15" style="62" customWidth="1"/>
    <col min="18" max="19" width="17" style="62" customWidth="1"/>
    <col min="20" max="27" width="8.7109375" style="62" customWidth="1"/>
    <col min="28" max="16384" width="14.42578125" style="62"/>
  </cols>
  <sheetData>
    <row r="1" spans="1:18" ht="18">
      <c r="B1" s="63"/>
    </row>
    <row r="2" spans="1:18" ht="18">
      <c r="B2" s="63"/>
      <c r="D2" s="342" t="s">
        <v>12</v>
      </c>
      <c r="E2" s="343"/>
      <c r="F2" s="343"/>
      <c r="G2" s="343"/>
      <c r="H2" s="343"/>
      <c r="I2" s="343"/>
    </row>
    <row r="3" spans="1:18" ht="18">
      <c r="B3" s="63"/>
      <c r="J3" s="344" t="s">
        <v>80</v>
      </c>
      <c r="K3" s="345"/>
      <c r="L3" s="346"/>
      <c r="M3" s="345"/>
      <c r="N3" s="347"/>
    </row>
    <row r="4" spans="1:18" ht="18">
      <c r="B4" s="63"/>
      <c r="D4" s="348"/>
      <c r="E4" s="343"/>
      <c r="F4" s="343"/>
      <c r="G4" s="343"/>
      <c r="H4" s="343"/>
      <c r="I4" s="343"/>
      <c r="J4" s="349"/>
      <c r="K4" s="343"/>
      <c r="L4" s="343"/>
      <c r="M4" s="343"/>
      <c r="N4" s="343"/>
      <c r="O4" s="343"/>
    </row>
    <row r="5" spans="1:18" ht="18">
      <c r="B5" s="63"/>
      <c r="O5" s="64"/>
    </row>
    <row r="6" spans="1:18" ht="18">
      <c r="A6" s="96"/>
      <c r="B6" s="350" t="s">
        <v>13</v>
      </c>
      <c r="C6" s="351"/>
      <c r="D6" s="351"/>
      <c r="E6" s="351"/>
      <c r="F6" s="351"/>
      <c r="G6" s="351"/>
      <c r="H6" s="351"/>
      <c r="I6" s="351"/>
      <c r="J6" s="352"/>
      <c r="K6" s="353" t="s">
        <v>14</v>
      </c>
      <c r="L6" s="354"/>
      <c r="M6" s="345"/>
      <c r="N6" s="345"/>
      <c r="O6" s="347"/>
      <c r="P6" s="65" t="s">
        <v>15</v>
      </c>
      <c r="Q6" s="65" t="s">
        <v>16</v>
      </c>
    </row>
    <row r="7" spans="1:18" ht="36">
      <c r="A7" s="96"/>
      <c r="B7" s="42" t="s">
        <v>1</v>
      </c>
      <c r="C7" s="43" t="s">
        <v>17</v>
      </c>
      <c r="D7" s="109" t="s">
        <v>18</v>
      </c>
      <c r="E7" s="43" t="s">
        <v>19</v>
      </c>
      <c r="F7" s="306" t="s">
        <v>20</v>
      </c>
      <c r="G7" s="43" t="s">
        <v>21</v>
      </c>
      <c r="H7" s="44" t="s">
        <v>22</v>
      </c>
      <c r="I7" s="44" t="s">
        <v>36</v>
      </c>
      <c r="J7" s="43" t="s">
        <v>24</v>
      </c>
      <c r="K7" s="43"/>
      <c r="L7" s="315" t="s">
        <v>82</v>
      </c>
      <c r="M7" s="318" t="s">
        <v>81</v>
      </c>
      <c r="N7" s="66" t="s">
        <v>26</v>
      </c>
      <c r="O7" s="67" t="s">
        <v>27</v>
      </c>
      <c r="P7" s="65" t="s">
        <v>28</v>
      </c>
      <c r="Q7" s="65" t="s">
        <v>29</v>
      </c>
    </row>
    <row r="8" spans="1:18" ht="18">
      <c r="A8" s="96"/>
      <c r="B8" s="293">
        <v>1</v>
      </c>
      <c r="C8" s="324" t="s">
        <v>71</v>
      </c>
      <c r="D8" s="110"/>
      <c r="E8" s="216">
        <v>46101</v>
      </c>
      <c r="F8" s="221">
        <v>2180.89</v>
      </c>
      <c r="G8" s="218">
        <v>0</v>
      </c>
      <c r="H8" s="57">
        <v>0</v>
      </c>
      <c r="I8" s="48">
        <v>0</v>
      </c>
      <c r="J8" s="239">
        <f t="shared" ref="J8:J17" si="0">SUM(F8:I8)</f>
        <v>2180.89</v>
      </c>
      <c r="K8" s="240">
        <v>171.96</v>
      </c>
      <c r="L8" s="240"/>
      <c r="M8" s="239">
        <v>72.62</v>
      </c>
      <c r="N8" s="242">
        <f>DESCONTOS!H4</f>
        <v>57</v>
      </c>
      <c r="O8" s="254">
        <f t="shared" ref="O8:O16" si="1">SUM(K8:N8)</f>
        <v>301.58000000000004</v>
      </c>
      <c r="P8" s="239"/>
      <c r="Q8" s="255">
        <f t="shared" ref="Q8:Q16" si="2">J8-O8+P8</f>
        <v>1879.31</v>
      </c>
    </row>
    <row r="9" spans="1:18" ht="18">
      <c r="A9" s="96"/>
      <c r="B9" s="293">
        <v>2</v>
      </c>
      <c r="C9" s="324" t="s">
        <v>30</v>
      </c>
      <c r="D9" s="236">
        <v>41051</v>
      </c>
      <c r="E9" s="237">
        <v>41141</v>
      </c>
      <c r="F9" s="305">
        <v>2180</v>
      </c>
      <c r="G9" s="238">
        <v>198.05</v>
      </c>
      <c r="H9" s="235">
        <v>0</v>
      </c>
      <c r="I9" s="239">
        <v>0</v>
      </c>
      <c r="J9" s="239">
        <f t="shared" si="0"/>
        <v>2378.0500000000002</v>
      </c>
      <c r="K9" s="240">
        <v>189.78</v>
      </c>
      <c r="L9" s="240"/>
      <c r="M9" s="241">
        <v>72.62</v>
      </c>
      <c r="N9" s="242">
        <f>DESCONTOS!H5</f>
        <v>0</v>
      </c>
      <c r="O9" s="243">
        <f t="shared" si="1"/>
        <v>262.39999999999998</v>
      </c>
      <c r="P9" s="243"/>
      <c r="Q9" s="244">
        <f t="shared" si="2"/>
        <v>2115.65</v>
      </c>
      <c r="R9" s="176"/>
    </row>
    <row r="10" spans="1:18" ht="18">
      <c r="A10" s="96"/>
      <c r="B10" s="293">
        <v>3</v>
      </c>
      <c r="C10" s="98" t="s">
        <v>8</v>
      </c>
      <c r="D10" s="236">
        <v>44501</v>
      </c>
      <c r="E10" s="237">
        <v>43221</v>
      </c>
      <c r="F10" s="305">
        <v>4650</v>
      </c>
      <c r="G10" s="245">
        <v>0</v>
      </c>
      <c r="H10" s="235"/>
      <c r="I10" s="239">
        <v>982.99</v>
      </c>
      <c r="J10" s="239">
        <f t="shared" si="0"/>
        <v>5632.99</v>
      </c>
      <c r="K10" s="240"/>
      <c r="L10" s="240"/>
      <c r="M10" s="241"/>
      <c r="N10" s="242">
        <f>DESCONTOS!H6</f>
        <v>185</v>
      </c>
      <c r="O10" s="243">
        <f t="shared" si="1"/>
        <v>185</v>
      </c>
      <c r="P10" s="243"/>
      <c r="Q10" s="244">
        <f t="shared" si="2"/>
        <v>5447.99</v>
      </c>
      <c r="R10" s="176"/>
    </row>
    <row r="11" spans="1:18" ht="18">
      <c r="A11" s="96"/>
      <c r="B11" s="293">
        <v>4</v>
      </c>
      <c r="C11" s="324" t="s">
        <v>38</v>
      </c>
      <c r="D11" s="246">
        <v>44732</v>
      </c>
      <c r="E11" s="247">
        <v>43213</v>
      </c>
      <c r="F11" s="305">
        <v>1737</v>
      </c>
      <c r="G11" s="248"/>
      <c r="H11" s="243">
        <v>0</v>
      </c>
      <c r="I11" s="239"/>
      <c r="J11" s="239">
        <f t="shared" si="0"/>
        <v>1737</v>
      </c>
      <c r="K11" s="240">
        <v>132.01</v>
      </c>
      <c r="L11" s="240"/>
      <c r="M11" s="239">
        <v>52.11</v>
      </c>
      <c r="N11" s="242">
        <f>DESCONTOS!H7</f>
        <v>0</v>
      </c>
      <c r="O11" s="243">
        <f t="shared" si="1"/>
        <v>184.12</v>
      </c>
      <c r="P11" s="239">
        <v>135.08000000000001</v>
      </c>
      <c r="Q11" s="244">
        <f t="shared" si="2"/>
        <v>1687.96</v>
      </c>
      <c r="R11" s="176" t="s">
        <v>57</v>
      </c>
    </row>
    <row r="12" spans="1:18" ht="18">
      <c r="A12" s="96"/>
      <c r="B12" s="293">
        <v>5</v>
      </c>
      <c r="C12" s="324" t="s">
        <v>55</v>
      </c>
      <c r="D12" s="236"/>
      <c r="E12" s="237">
        <v>45670</v>
      </c>
      <c r="F12" s="305">
        <v>2180.89</v>
      </c>
      <c r="G12" s="249"/>
      <c r="H12" s="314">
        <v>563.33000000000004</v>
      </c>
      <c r="I12" s="314">
        <v>1428</v>
      </c>
      <c r="J12" s="239">
        <f t="shared" si="0"/>
        <v>4172.2199999999993</v>
      </c>
      <c r="K12" s="240">
        <v>171.96</v>
      </c>
      <c r="L12" s="240"/>
      <c r="M12" s="240">
        <v>72.62</v>
      </c>
      <c r="N12" s="242">
        <f>DESCONTOS!H8</f>
        <v>40</v>
      </c>
      <c r="O12" s="243">
        <f t="shared" si="1"/>
        <v>284.58000000000004</v>
      </c>
      <c r="P12" s="250"/>
      <c r="Q12" s="244">
        <f t="shared" si="2"/>
        <v>3887.6399999999994</v>
      </c>
      <c r="R12" s="176"/>
    </row>
    <row r="13" spans="1:18" ht="18">
      <c r="A13" s="96"/>
      <c r="B13" s="293">
        <v>6</v>
      </c>
      <c r="C13" s="324" t="s">
        <v>31</v>
      </c>
      <c r="D13" s="251">
        <v>42267</v>
      </c>
      <c r="E13" s="252">
        <v>42036</v>
      </c>
      <c r="F13" s="305">
        <v>2180.89</v>
      </c>
      <c r="G13" s="295"/>
      <c r="H13" s="319">
        <v>2180.89</v>
      </c>
      <c r="I13" s="184">
        <v>458.6</v>
      </c>
      <c r="J13" s="239">
        <f t="shared" si="0"/>
        <v>4820.38</v>
      </c>
      <c r="K13" s="240">
        <v>412.15</v>
      </c>
      <c r="L13" s="240"/>
      <c r="M13" s="239">
        <v>72.62</v>
      </c>
      <c r="N13" s="242">
        <f>DESCONTOS!H9</f>
        <v>89</v>
      </c>
      <c r="O13" s="243">
        <f t="shared" si="1"/>
        <v>573.77</v>
      </c>
      <c r="P13" s="239"/>
      <c r="Q13" s="244">
        <f t="shared" si="2"/>
        <v>4246.6100000000006</v>
      </c>
      <c r="R13" s="176"/>
    </row>
    <row r="14" spans="1:18" ht="18">
      <c r="A14" s="96"/>
      <c r="B14" s="293">
        <v>7</v>
      </c>
      <c r="C14" s="324" t="s">
        <v>32</v>
      </c>
      <c r="D14" s="236">
        <v>43254</v>
      </c>
      <c r="E14" s="237">
        <v>43151</v>
      </c>
      <c r="F14" s="305">
        <v>2180.89</v>
      </c>
      <c r="G14" s="248">
        <v>0</v>
      </c>
      <c r="H14" s="243">
        <v>0</v>
      </c>
      <c r="I14" s="239">
        <v>0</v>
      </c>
      <c r="J14" s="239">
        <f t="shared" si="0"/>
        <v>2180.89</v>
      </c>
      <c r="K14" s="240">
        <v>171.96</v>
      </c>
      <c r="L14" s="240"/>
      <c r="M14" s="239">
        <v>72.62</v>
      </c>
      <c r="N14" s="242">
        <f>DESCONTOS!H10</f>
        <v>0</v>
      </c>
      <c r="O14" s="243">
        <f t="shared" si="1"/>
        <v>244.58</v>
      </c>
      <c r="P14" s="239"/>
      <c r="Q14" s="244">
        <f t="shared" si="2"/>
        <v>1936.31</v>
      </c>
      <c r="R14" s="176"/>
    </row>
    <row r="15" spans="1:18" ht="18">
      <c r="A15" s="96"/>
      <c r="B15" s="293">
        <v>8</v>
      </c>
      <c r="C15" s="324" t="s">
        <v>63</v>
      </c>
      <c r="D15" s="236"/>
      <c r="E15" s="237">
        <v>45873</v>
      </c>
      <c r="F15" s="305">
        <v>1737</v>
      </c>
      <c r="G15" s="295"/>
      <c r="H15" s="243">
        <v>0</v>
      </c>
      <c r="I15" s="301">
        <v>443.89</v>
      </c>
      <c r="J15" s="239">
        <f t="shared" si="0"/>
        <v>2180.89</v>
      </c>
      <c r="K15" s="240">
        <v>132.01</v>
      </c>
      <c r="L15" s="240"/>
      <c r="M15" s="239">
        <v>52.11</v>
      </c>
      <c r="N15" s="242">
        <f>DESCONTOS!H11</f>
        <v>0</v>
      </c>
      <c r="O15" s="243">
        <f t="shared" si="1"/>
        <v>184.12</v>
      </c>
      <c r="P15" s="239">
        <v>67.540000000000006</v>
      </c>
      <c r="Q15" s="244">
        <f t="shared" si="2"/>
        <v>2064.31</v>
      </c>
      <c r="R15" s="176"/>
    </row>
    <row r="16" spans="1:18" ht="18">
      <c r="A16" s="96"/>
      <c r="B16" s="222">
        <v>9</v>
      </c>
      <c r="C16" s="324" t="s">
        <v>44</v>
      </c>
      <c r="D16" s="251"/>
      <c r="E16" s="252" t="s">
        <v>64</v>
      </c>
      <c r="F16" s="305">
        <v>2767.72</v>
      </c>
      <c r="G16" s="248"/>
      <c r="H16" s="243"/>
      <c r="I16" s="239">
        <v>3500.28</v>
      </c>
      <c r="J16" s="239">
        <f t="shared" si="0"/>
        <v>6268</v>
      </c>
      <c r="K16" s="253">
        <v>224.77</v>
      </c>
      <c r="L16" s="253">
        <v>844.08</v>
      </c>
      <c r="M16" s="239">
        <v>92.17</v>
      </c>
      <c r="N16" s="242">
        <f>DESCONTOS!H12</f>
        <v>1010.58</v>
      </c>
      <c r="O16" s="243">
        <f t="shared" si="1"/>
        <v>2171.6000000000004</v>
      </c>
      <c r="P16" s="239"/>
      <c r="Q16" s="244">
        <f t="shared" si="2"/>
        <v>4096.3999999999996</v>
      </c>
      <c r="R16" s="176"/>
    </row>
    <row r="17" spans="1:18" ht="18">
      <c r="A17" s="96"/>
      <c r="B17" s="132">
        <v>10</v>
      </c>
      <c r="C17" s="324" t="s">
        <v>69</v>
      </c>
      <c r="D17" s="133"/>
      <c r="E17" s="217">
        <v>46063</v>
      </c>
      <c r="F17" s="307">
        <v>2236.2800000000002</v>
      </c>
      <c r="G17" s="219"/>
      <c r="H17" s="134">
        <v>0</v>
      </c>
      <c r="I17" s="313"/>
      <c r="J17" s="135">
        <f t="shared" si="0"/>
        <v>2236.2800000000002</v>
      </c>
      <c r="K17" s="136">
        <v>176.94</v>
      </c>
      <c r="L17" s="136"/>
      <c r="M17" s="135">
        <v>74.47</v>
      </c>
      <c r="N17" s="242">
        <f>DESCONTOS!H13</f>
        <v>0</v>
      </c>
      <c r="O17" s="243">
        <f t="shared" ref="O17:O21" si="3">SUM(K17:N17)</f>
        <v>251.41</v>
      </c>
      <c r="P17" s="135"/>
      <c r="Q17" s="244">
        <f t="shared" ref="Q17:Q21" si="4">J17-O17+P17</f>
        <v>1984.8700000000001</v>
      </c>
      <c r="R17" s="176"/>
    </row>
    <row r="18" spans="1:18" ht="18">
      <c r="A18" s="68"/>
      <c r="B18" s="45"/>
      <c r="C18" s="98"/>
      <c r="D18" s="137"/>
      <c r="E18" s="138"/>
      <c r="F18" s="220"/>
      <c r="G18" s="52"/>
      <c r="H18" s="52"/>
      <c r="I18" s="48"/>
      <c r="J18" s="49"/>
      <c r="K18" s="183"/>
      <c r="L18" s="183"/>
      <c r="M18" s="184"/>
      <c r="N18" s="242">
        <f>DESCONTOS!H14</f>
        <v>0</v>
      </c>
      <c r="O18" s="243">
        <f t="shared" si="3"/>
        <v>0</v>
      </c>
      <c r="P18" s="184"/>
      <c r="Q18" s="244">
        <f t="shared" si="4"/>
        <v>0</v>
      </c>
      <c r="R18" s="96"/>
    </row>
    <row r="19" spans="1:18" ht="18">
      <c r="B19" s="45"/>
      <c r="C19" s="98"/>
      <c r="D19" s="111"/>
      <c r="E19" s="55"/>
      <c r="F19" s="185"/>
      <c r="G19" s="56">
        <v>0</v>
      </c>
      <c r="H19" s="52">
        <v>0</v>
      </c>
      <c r="I19" s="48"/>
      <c r="J19" s="49">
        <f>SUM(F19:I19)</f>
        <v>0</v>
      </c>
      <c r="K19" s="183"/>
      <c r="L19" s="183"/>
      <c r="M19" s="184"/>
      <c r="N19" s="242">
        <f>DESCONTOS!H15</f>
        <v>0</v>
      </c>
      <c r="O19" s="243">
        <f t="shared" si="3"/>
        <v>0</v>
      </c>
      <c r="P19" s="184"/>
      <c r="Q19" s="244">
        <f t="shared" si="4"/>
        <v>0</v>
      </c>
      <c r="R19" s="114"/>
    </row>
    <row r="20" spans="1:18" ht="18">
      <c r="B20" s="45"/>
      <c r="C20" s="46"/>
      <c r="D20" s="110"/>
      <c r="E20" s="47"/>
      <c r="F20" s="139"/>
      <c r="G20" s="52">
        <v>0</v>
      </c>
      <c r="H20" s="52">
        <v>0</v>
      </c>
      <c r="I20" s="48">
        <v>0</v>
      </c>
      <c r="J20" s="49">
        <f>SUM(F20:I20)</f>
        <v>0</v>
      </c>
      <c r="K20" s="183"/>
      <c r="L20" s="183"/>
      <c r="M20" s="184"/>
      <c r="N20" s="242"/>
      <c r="O20" s="243">
        <f t="shared" si="3"/>
        <v>0</v>
      </c>
      <c r="P20" s="49"/>
      <c r="Q20" s="244">
        <f t="shared" si="4"/>
        <v>0</v>
      </c>
    </row>
    <row r="21" spans="1:18" ht="18">
      <c r="B21" s="45"/>
      <c r="C21" s="46"/>
      <c r="D21" s="110"/>
      <c r="E21" s="47"/>
      <c r="F21" s="51"/>
      <c r="G21" s="52"/>
      <c r="H21" s="52"/>
      <c r="I21" s="48"/>
      <c r="J21" s="49"/>
      <c r="K21" s="53"/>
      <c r="L21" s="53"/>
      <c r="M21" s="49"/>
      <c r="N21" s="242">
        <f>DESCONTOS!H17</f>
        <v>0</v>
      </c>
      <c r="O21" s="243">
        <f t="shared" si="3"/>
        <v>0</v>
      </c>
      <c r="P21" s="49"/>
      <c r="Q21" s="244">
        <f t="shared" si="4"/>
        <v>0</v>
      </c>
    </row>
    <row r="22" spans="1:18" ht="15.75" customHeight="1">
      <c r="B22" s="58"/>
      <c r="C22" s="59" t="s">
        <v>33</v>
      </c>
      <c r="D22" s="112"/>
      <c r="E22" s="60"/>
      <c r="F22" s="61">
        <f>SUM(F8:F18)</f>
        <v>24031.559999999998</v>
      </c>
      <c r="G22" s="61">
        <f>SUM(G8:G18)</f>
        <v>198.05</v>
      </c>
      <c r="H22" s="61">
        <f>SUM(H8:H17)</f>
        <v>2744.22</v>
      </c>
      <c r="I22" s="61">
        <f>SUM(I8:I18)</f>
        <v>6813.76</v>
      </c>
      <c r="J22" s="61">
        <f>SUM(J8:J18)</f>
        <v>33787.589999999997</v>
      </c>
      <c r="K22" s="61">
        <f>SUM(K8:K18)</f>
        <v>1783.5400000000002</v>
      </c>
      <c r="L22" s="61"/>
      <c r="M22" s="61">
        <f t="shared" ref="M22:P22" si="5">SUM(M8:M17)</f>
        <v>633.96</v>
      </c>
      <c r="N22" s="61">
        <f t="shared" si="5"/>
        <v>1381.58</v>
      </c>
      <c r="O22" s="61">
        <f t="shared" si="5"/>
        <v>4643.16</v>
      </c>
      <c r="P22" s="61">
        <f t="shared" si="5"/>
        <v>202.62</v>
      </c>
      <c r="Q22" s="61">
        <f>SUM(Q8:Q19)</f>
        <v>29347.05</v>
      </c>
    </row>
    <row r="23" spans="1:18" ht="15.75" customHeight="1">
      <c r="B23" s="63"/>
    </row>
    <row r="24" spans="1:18" ht="15.75" customHeight="1">
      <c r="B24" s="63"/>
      <c r="C24" s="96"/>
      <c r="D24" s="113"/>
      <c r="E24" s="96"/>
      <c r="F24" s="96"/>
      <c r="G24" s="96"/>
      <c r="H24" s="96"/>
      <c r="I24" s="96"/>
    </row>
    <row r="25" spans="1:18" ht="15.75" customHeight="1">
      <c r="B25" s="63"/>
      <c r="C25" s="107"/>
      <c r="D25" s="113"/>
      <c r="E25" s="96"/>
      <c r="F25" s="96"/>
      <c r="G25" s="96"/>
      <c r="H25" s="96"/>
      <c r="I25" s="96"/>
    </row>
    <row r="26" spans="1:18" ht="15.75" customHeight="1">
      <c r="B26" s="63"/>
      <c r="C26" s="96"/>
      <c r="D26" s="113"/>
      <c r="E26" s="96"/>
      <c r="F26" s="96"/>
      <c r="G26" s="96"/>
      <c r="H26" s="96">
        <v>2180.89</v>
      </c>
      <c r="I26" s="96"/>
    </row>
    <row r="27" spans="1:18" ht="15.75" customHeight="1">
      <c r="B27" s="63"/>
      <c r="C27" s="96"/>
      <c r="D27" s="113"/>
      <c r="E27" s="96"/>
      <c r="F27" s="96"/>
      <c r="G27" s="96"/>
      <c r="H27" s="96">
        <v>1737</v>
      </c>
      <c r="I27" s="96"/>
    </row>
    <row r="28" spans="1:18" ht="15.75" customHeight="1">
      <c r="B28" s="63"/>
      <c r="C28" s="96"/>
      <c r="D28" s="113"/>
      <c r="E28" s="96"/>
      <c r="F28" s="96"/>
      <c r="G28" s="96"/>
      <c r="H28" s="96"/>
      <c r="I28" s="96"/>
    </row>
    <row r="29" spans="1:18" ht="15.75" customHeight="1">
      <c r="B29" s="63"/>
      <c r="C29" s="96"/>
      <c r="D29" s="113"/>
      <c r="E29" s="96"/>
      <c r="F29" s="96"/>
      <c r="G29" s="96"/>
      <c r="H29" s="96"/>
      <c r="I29" s="96"/>
    </row>
    <row r="30" spans="1:18" ht="15.75" customHeight="1">
      <c r="B30" s="63"/>
      <c r="H30" s="62">
        <f>H26-H27</f>
        <v>443.88999999999987</v>
      </c>
    </row>
    <row r="31" spans="1:18" ht="15.75" customHeight="1">
      <c r="B31" s="63"/>
    </row>
    <row r="32" spans="1:18" ht="15.75" customHeight="1">
      <c r="B32" s="63"/>
      <c r="E32" s="96"/>
    </row>
    <row r="33" spans="2:5" ht="15.75" customHeight="1">
      <c r="B33" s="63"/>
      <c r="E33" s="96"/>
    </row>
    <row r="34" spans="2:5" ht="15.75" customHeight="1">
      <c r="B34" s="63"/>
    </row>
    <row r="35" spans="2:5" ht="15.75" customHeight="1">
      <c r="B35" s="63"/>
    </row>
    <row r="36" spans="2:5" ht="15.75" customHeight="1">
      <c r="B36" s="63"/>
    </row>
    <row r="37" spans="2:5" ht="15.75" customHeight="1">
      <c r="B37" s="63"/>
    </row>
    <row r="38" spans="2:5" ht="15.75" customHeight="1">
      <c r="B38" s="63"/>
    </row>
    <row r="39" spans="2:5" ht="15.75" customHeight="1">
      <c r="B39" s="63"/>
    </row>
    <row r="40" spans="2:5" ht="15.75" customHeight="1">
      <c r="B40" s="63"/>
    </row>
    <row r="41" spans="2:5" ht="15.75" customHeight="1">
      <c r="B41" s="63"/>
    </row>
    <row r="42" spans="2:5" ht="15.75" customHeight="1">
      <c r="B42" s="63"/>
    </row>
    <row r="43" spans="2:5" ht="15.75" customHeight="1">
      <c r="B43" s="63"/>
    </row>
    <row r="44" spans="2:5" ht="15.75" customHeight="1">
      <c r="B44" s="63"/>
    </row>
    <row r="45" spans="2:5" ht="15.75" customHeight="1">
      <c r="B45" s="63"/>
    </row>
    <row r="46" spans="2:5" ht="15.75" customHeight="1">
      <c r="B46" s="63"/>
    </row>
    <row r="47" spans="2:5" ht="15.75" customHeight="1">
      <c r="B47" s="63"/>
    </row>
    <row r="48" spans="2:5" ht="15.75" customHeight="1">
      <c r="B48" s="63"/>
    </row>
    <row r="49" spans="2:2" ht="15.75" customHeight="1">
      <c r="B49" s="63"/>
    </row>
    <row r="50" spans="2:2" ht="15.75" customHeight="1">
      <c r="B50" s="63"/>
    </row>
    <row r="51" spans="2:2" ht="15.75" customHeight="1">
      <c r="B51" s="63"/>
    </row>
    <row r="52" spans="2:2" ht="15.75" customHeight="1">
      <c r="B52" s="63"/>
    </row>
    <row r="53" spans="2:2" ht="15.75" customHeight="1">
      <c r="B53" s="63"/>
    </row>
    <row r="54" spans="2:2" ht="15.75" customHeight="1">
      <c r="B54" s="63"/>
    </row>
    <row r="55" spans="2:2" ht="15.75" customHeight="1">
      <c r="B55" s="63"/>
    </row>
    <row r="56" spans="2:2" ht="15.75" customHeight="1">
      <c r="B56" s="63"/>
    </row>
    <row r="57" spans="2:2" ht="15.75" customHeight="1">
      <c r="B57" s="63"/>
    </row>
    <row r="58" spans="2:2" ht="15.75" customHeight="1">
      <c r="B58" s="63"/>
    </row>
    <row r="59" spans="2:2" ht="15.75" customHeight="1">
      <c r="B59" s="63"/>
    </row>
    <row r="60" spans="2:2" ht="15.75" customHeight="1">
      <c r="B60" s="63"/>
    </row>
    <row r="61" spans="2:2" ht="15.75" customHeight="1">
      <c r="B61" s="63"/>
    </row>
    <row r="62" spans="2:2" ht="15.75" customHeight="1">
      <c r="B62" s="63"/>
    </row>
    <row r="63" spans="2:2" ht="15.75" customHeight="1">
      <c r="B63" s="63"/>
    </row>
    <row r="64" spans="2:2" ht="15.75" customHeight="1">
      <c r="B64" s="63"/>
    </row>
    <row r="65" spans="2:2" ht="15.75" customHeight="1">
      <c r="B65" s="63"/>
    </row>
    <row r="66" spans="2:2" ht="15.75" customHeight="1">
      <c r="B66" s="63"/>
    </row>
    <row r="67" spans="2:2" ht="15.75" customHeight="1">
      <c r="B67" s="63"/>
    </row>
    <row r="68" spans="2:2" ht="15.75" customHeight="1">
      <c r="B68" s="63"/>
    </row>
    <row r="69" spans="2:2" ht="15.75" customHeight="1">
      <c r="B69" s="63"/>
    </row>
    <row r="70" spans="2:2" ht="15.75" customHeight="1">
      <c r="B70" s="63"/>
    </row>
    <row r="71" spans="2:2" ht="15.75" customHeight="1">
      <c r="B71" s="63"/>
    </row>
    <row r="72" spans="2:2" ht="15.75" customHeight="1">
      <c r="B72" s="63"/>
    </row>
    <row r="73" spans="2:2" ht="15.75" customHeight="1">
      <c r="B73" s="63"/>
    </row>
    <row r="74" spans="2:2" ht="15.75" customHeight="1">
      <c r="B74" s="63"/>
    </row>
    <row r="75" spans="2:2" ht="15.75" customHeight="1">
      <c r="B75" s="63"/>
    </row>
    <row r="76" spans="2:2" ht="15.75" customHeight="1">
      <c r="B76" s="63"/>
    </row>
    <row r="77" spans="2:2" ht="15.75" customHeight="1">
      <c r="B77" s="63"/>
    </row>
    <row r="78" spans="2:2" ht="15.75" customHeight="1">
      <c r="B78" s="63"/>
    </row>
    <row r="79" spans="2:2" ht="15.75" customHeight="1">
      <c r="B79" s="63"/>
    </row>
    <row r="80" spans="2:2" ht="15.75" customHeight="1">
      <c r="B80" s="63"/>
    </row>
    <row r="81" spans="2:2" ht="15.75" customHeight="1">
      <c r="B81" s="63"/>
    </row>
    <row r="82" spans="2:2" ht="15.75" customHeight="1">
      <c r="B82" s="63"/>
    </row>
    <row r="83" spans="2:2" ht="15.75" customHeight="1">
      <c r="B83" s="63"/>
    </row>
    <row r="84" spans="2:2" ht="15.75" customHeight="1">
      <c r="B84" s="63"/>
    </row>
    <row r="85" spans="2:2" ht="15.75" customHeight="1">
      <c r="B85" s="63"/>
    </row>
    <row r="86" spans="2:2" ht="15.75" customHeight="1">
      <c r="B86" s="63"/>
    </row>
    <row r="87" spans="2:2" ht="15.75" customHeight="1">
      <c r="B87" s="63"/>
    </row>
    <row r="88" spans="2:2" ht="15.75" customHeight="1">
      <c r="B88" s="63"/>
    </row>
    <row r="89" spans="2:2" ht="15.75" customHeight="1">
      <c r="B89" s="63"/>
    </row>
    <row r="90" spans="2:2" ht="15.75" customHeight="1">
      <c r="B90" s="63"/>
    </row>
    <row r="91" spans="2:2" ht="15.75" customHeight="1">
      <c r="B91" s="63"/>
    </row>
    <row r="92" spans="2:2" ht="15.75" customHeight="1">
      <c r="B92" s="63"/>
    </row>
    <row r="93" spans="2:2" ht="15.75" customHeight="1">
      <c r="B93" s="63"/>
    </row>
    <row r="94" spans="2:2" ht="15.75" customHeight="1">
      <c r="B94" s="63"/>
    </row>
    <row r="95" spans="2:2" ht="15.75" customHeight="1">
      <c r="B95" s="63"/>
    </row>
    <row r="96" spans="2:2" ht="15.75" customHeight="1">
      <c r="B96" s="63"/>
    </row>
    <row r="97" spans="2:2" ht="15.75" customHeight="1">
      <c r="B97" s="63"/>
    </row>
    <row r="98" spans="2:2" ht="15.75" customHeight="1">
      <c r="B98" s="63"/>
    </row>
    <row r="99" spans="2:2" ht="15.75" customHeight="1">
      <c r="B99" s="63"/>
    </row>
    <row r="100" spans="2:2" ht="15.75" customHeight="1">
      <c r="B100" s="63"/>
    </row>
    <row r="101" spans="2:2" ht="15.75" customHeight="1">
      <c r="B101" s="63"/>
    </row>
    <row r="102" spans="2:2" ht="15.75" customHeight="1">
      <c r="B102" s="63"/>
    </row>
    <row r="103" spans="2:2" ht="15.75" customHeight="1">
      <c r="B103" s="63"/>
    </row>
    <row r="104" spans="2:2" ht="15.75" customHeight="1">
      <c r="B104" s="63"/>
    </row>
    <row r="105" spans="2:2" ht="15.75" customHeight="1">
      <c r="B105" s="63"/>
    </row>
    <row r="106" spans="2:2" ht="15.75" customHeight="1">
      <c r="B106" s="63"/>
    </row>
    <row r="107" spans="2:2" ht="15.75" customHeight="1">
      <c r="B107" s="63"/>
    </row>
    <row r="108" spans="2:2" ht="15.75" customHeight="1">
      <c r="B108" s="63"/>
    </row>
    <row r="109" spans="2:2" ht="15.75" customHeight="1">
      <c r="B109" s="63"/>
    </row>
    <row r="110" spans="2:2" ht="15.75" customHeight="1">
      <c r="B110" s="63"/>
    </row>
    <row r="111" spans="2:2" ht="15.75" customHeight="1">
      <c r="B111" s="63"/>
    </row>
    <row r="112" spans="2:2" ht="15.75" customHeight="1">
      <c r="B112" s="63"/>
    </row>
    <row r="113" spans="2:2" ht="15.75" customHeight="1">
      <c r="B113" s="63"/>
    </row>
    <row r="114" spans="2:2" ht="15.75" customHeight="1">
      <c r="B114" s="63"/>
    </row>
    <row r="115" spans="2:2" ht="15.75" customHeight="1">
      <c r="B115" s="63"/>
    </row>
    <row r="116" spans="2:2" ht="15.75" customHeight="1">
      <c r="B116" s="63"/>
    </row>
    <row r="117" spans="2:2" ht="15.75" customHeight="1">
      <c r="B117" s="63"/>
    </row>
    <row r="118" spans="2:2" ht="15.75" customHeight="1">
      <c r="B118" s="63"/>
    </row>
    <row r="119" spans="2:2" ht="15.75" customHeight="1">
      <c r="B119" s="63"/>
    </row>
    <row r="120" spans="2:2" ht="15.75" customHeight="1">
      <c r="B120" s="63"/>
    </row>
    <row r="121" spans="2:2" ht="15.75" customHeight="1">
      <c r="B121" s="63"/>
    </row>
    <row r="122" spans="2:2" ht="15.75" customHeight="1">
      <c r="B122" s="63"/>
    </row>
    <row r="123" spans="2:2" ht="15.75" customHeight="1">
      <c r="B123" s="63"/>
    </row>
    <row r="124" spans="2:2" ht="15.75" customHeight="1">
      <c r="B124" s="63"/>
    </row>
    <row r="125" spans="2:2" ht="15.75" customHeight="1">
      <c r="B125" s="63"/>
    </row>
    <row r="126" spans="2:2" ht="15.75" customHeight="1">
      <c r="B126" s="63"/>
    </row>
    <row r="127" spans="2:2" ht="15.75" customHeight="1">
      <c r="B127" s="63"/>
    </row>
    <row r="128" spans="2:2" ht="15.75" customHeight="1">
      <c r="B128" s="63"/>
    </row>
    <row r="129" spans="2:2" ht="15.75" customHeight="1">
      <c r="B129" s="63"/>
    </row>
    <row r="130" spans="2:2" ht="15.75" customHeight="1">
      <c r="B130" s="63"/>
    </row>
    <row r="131" spans="2:2" ht="15.75" customHeight="1">
      <c r="B131" s="63"/>
    </row>
    <row r="132" spans="2:2" ht="15.75" customHeight="1">
      <c r="B132" s="63"/>
    </row>
    <row r="133" spans="2:2" ht="15.75" customHeight="1">
      <c r="B133" s="63"/>
    </row>
    <row r="134" spans="2:2" ht="15.75" customHeight="1">
      <c r="B134" s="63"/>
    </row>
    <row r="135" spans="2:2" ht="15.75" customHeight="1">
      <c r="B135" s="63"/>
    </row>
    <row r="136" spans="2:2" ht="15.75" customHeight="1">
      <c r="B136" s="63"/>
    </row>
    <row r="137" spans="2:2" ht="15.75" customHeight="1">
      <c r="B137" s="63"/>
    </row>
    <row r="138" spans="2:2" ht="15.75" customHeight="1">
      <c r="B138" s="63"/>
    </row>
    <row r="139" spans="2:2" ht="15.75" customHeight="1">
      <c r="B139" s="63"/>
    </row>
    <row r="140" spans="2:2" ht="15.75" customHeight="1">
      <c r="B140" s="63"/>
    </row>
    <row r="141" spans="2:2" ht="15.75" customHeight="1">
      <c r="B141" s="63"/>
    </row>
    <row r="142" spans="2:2" ht="15.75" customHeight="1">
      <c r="B142" s="63"/>
    </row>
    <row r="143" spans="2:2" ht="15.75" customHeight="1">
      <c r="B143" s="63"/>
    </row>
    <row r="144" spans="2:2" ht="15.75" customHeight="1">
      <c r="B144" s="63"/>
    </row>
    <row r="145" spans="2:2" ht="15.75" customHeight="1">
      <c r="B145" s="63"/>
    </row>
    <row r="146" spans="2:2" ht="15.75" customHeight="1">
      <c r="B146" s="63"/>
    </row>
    <row r="147" spans="2:2" ht="15.75" customHeight="1">
      <c r="B147" s="63"/>
    </row>
    <row r="148" spans="2:2" ht="15.75" customHeight="1">
      <c r="B148" s="63"/>
    </row>
    <row r="149" spans="2:2" ht="15.75" customHeight="1">
      <c r="B149" s="63"/>
    </row>
    <row r="150" spans="2:2" ht="15.75" customHeight="1">
      <c r="B150" s="63"/>
    </row>
    <row r="151" spans="2:2" ht="15.75" customHeight="1">
      <c r="B151" s="63"/>
    </row>
    <row r="152" spans="2:2" ht="15.75" customHeight="1">
      <c r="B152" s="63"/>
    </row>
    <row r="153" spans="2:2" ht="15.75" customHeight="1">
      <c r="B153" s="63"/>
    </row>
    <row r="154" spans="2:2" ht="15.75" customHeight="1">
      <c r="B154" s="63"/>
    </row>
    <row r="155" spans="2:2" ht="15.75" customHeight="1">
      <c r="B155" s="63"/>
    </row>
    <row r="156" spans="2:2" ht="15.75" customHeight="1">
      <c r="B156" s="63"/>
    </row>
    <row r="157" spans="2:2" ht="15.75" customHeight="1">
      <c r="B157" s="63"/>
    </row>
    <row r="158" spans="2:2" ht="15.75" customHeight="1">
      <c r="B158" s="63"/>
    </row>
    <row r="159" spans="2:2" ht="15.75" customHeight="1">
      <c r="B159" s="63"/>
    </row>
    <row r="160" spans="2:2" ht="15.75" customHeight="1">
      <c r="B160" s="63"/>
    </row>
    <row r="161" spans="2:2" ht="15.75" customHeight="1">
      <c r="B161" s="63"/>
    </row>
    <row r="162" spans="2:2" ht="15.75" customHeight="1">
      <c r="B162" s="63"/>
    </row>
    <row r="163" spans="2:2" ht="15.75" customHeight="1">
      <c r="B163" s="63"/>
    </row>
    <row r="164" spans="2:2" ht="15.75" customHeight="1">
      <c r="B164" s="63"/>
    </row>
    <row r="165" spans="2:2" ht="15.75" customHeight="1">
      <c r="B165" s="63"/>
    </row>
    <row r="166" spans="2:2" ht="15.75" customHeight="1">
      <c r="B166" s="63"/>
    </row>
    <row r="167" spans="2:2" ht="15.75" customHeight="1">
      <c r="B167" s="63"/>
    </row>
    <row r="168" spans="2:2" ht="15.75" customHeight="1">
      <c r="B168" s="63"/>
    </row>
    <row r="169" spans="2:2" ht="15.75" customHeight="1">
      <c r="B169" s="63"/>
    </row>
    <row r="170" spans="2:2" ht="15.75" customHeight="1">
      <c r="B170" s="63"/>
    </row>
    <row r="171" spans="2:2" ht="15.75" customHeight="1">
      <c r="B171" s="63"/>
    </row>
    <row r="172" spans="2:2" ht="15.75" customHeight="1">
      <c r="B172" s="63"/>
    </row>
    <row r="173" spans="2:2" ht="15.75" customHeight="1">
      <c r="B173" s="63"/>
    </row>
    <row r="174" spans="2:2" ht="15.75" customHeight="1">
      <c r="B174" s="63"/>
    </row>
    <row r="175" spans="2:2" ht="15.75" customHeight="1">
      <c r="B175" s="63"/>
    </row>
    <row r="176" spans="2:2" ht="15.75" customHeight="1">
      <c r="B176" s="63"/>
    </row>
    <row r="177" spans="2:2" ht="15.75" customHeight="1">
      <c r="B177" s="63"/>
    </row>
    <row r="178" spans="2:2" ht="15.75" customHeight="1">
      <c r="B178" s="63"/>
    </row>
    <row r="179" spans="2:2" ht="15.75" customHeight="1">
      <c r="B179" s="63"/>
    </row>
    <row r="180" spans="2:2" ht="15.75" customHeight="1">
      <c r="B180" s="63"/>
    </row>
    <row r="181" spans="2:2" ht="15.75" customHeight="1">
      <c r="B181" s="63"/>
    </row>
    <row r="182" spans="2:2" ht="15.75" customHeight="1">
      <c r="B182" s="63"/>
    </row>
    <row r="183" spans="2:2" ht="15.75" customHeight="1">
      <c r="B183" s="63"/>
    </row>
    <row r="184" spans="2:2" ht="15.75" customHeight="1">
      <c r="B184" s="63"/>
    </row>
    <row r="185" spans="2:2" ht="15.75" customHeight="1">
      <c r="B185" s="63"/>
    </row>
    <row r="186" spans="2:2" ht="15.75" customHeight="1">
      <c r="B186" s="63"/>
    </row>
    <row r="187" spans="2:2" ht="15.75" customHeight="1">
      <c r="B187" s="63"/>
    </row>
    <row r="188" spans="2:2" ht="15.75" customHeight="1">
      <c r="B188" s="63"/>
    </row>
    <row r="189" spans="2:2" ht="15.75" customHeight="1">
      <c r="B189" s="63"/>
    </row>
    <row r="190" spans="2:2" ht="15.75" customHeight="1">
      <c r="B190" s="63"/>
    </row>
    <row r="191" spans="2:2" ht="15.75" customHeight="1">
      <c r="B191" s="63"/>
    </row>
    <row r="192" spans="2:2" ht="15.75" customHeight="1">
      <c r="B192" s="63"/>
    </row>
    <row r="193" spans="2:2" ht="15.75" customHeight="1">
      <c r="B193" s="63"/>
    </row>
    <row r="194" spans="2:2" ht="15.75" customHeight="1">
      <c r="B194" s="63"/>
    </row>
    <row r="195" spans="2:2" ht="15.75" customHeight="1">
      <c r="B195" s="63"/>
    </row>
    <row r="196" spans="2:2" ht="15.75" customHeight="1">
      <c r="B196" s="63"/>
    </row>
    <row r="197" spans="2:2" ht="15.75" customHeight="1">
      <c r="B197" s="63"/>
    </row>
    <row r="198" spans="2:2" ht="15.75" customHeight="1">
      <c r="B198" s="63"/>
    </row>
    <row r="199" spans="2:2" ht="15.75" customHeight="1">
      <c r="B199" s="63"/>
    </row>
    <row r="200" spans="2:2" ht="15.75" customHeight="1">
      <c r="B200" s="63"/>
    </row>
    <row r="201" spans="2:2" ht="15.75" customHeight="1">
      <c r="B201" s="63"/>
    </row>
    <row r="202" spans="2:2" ht="15.75" customHeight="1">
      <c r="B202" s="63"/>
    </row>
    <row r="203" spans="2:2" ht="15.75" customHeight="1">
      <c r="B203" s="63"/>
    </row>
    <row r="204" spans="2:2" ht="15.75" customHeight="1">
      <c r="B204" s="63"/>
    </row>
    <row r="205" spans="2:2" ht="15.75" customHeight="1">
      <c r="B205" s="63"/>
    </row>
    <row r="206" spans="2:2" ht="15.75" customHeight="1">
      <c r="B206" s="63"/>
    </row>
    <row r="207" spans="2:2" ht="15.75" customHeight="1">
      <c r="B207" s="63"/>
    </row>
    <row r="208" spans="2:2" ht="15.75" customHeight="1">
      <c r="B208" s="63"/>
    </row>
    <row r="209" spans="2:2" ht="15.75" customHeight="1">
      <c r="B209" s="63"/>
    </row>
    <row r="210" spans="2:2" ht="15.75" customHeight="1">
      <c r="B210" s="63"/>
    </row>
    <row r="211" spans="2:2" ht="15.75" customHeight="1">
      <c r="B211" s="63"/>
    </row>
    <row r="212" spans="2:2" ht="15.75" customHeight="1">
      <c r="B212" s="63"/>
    </row>
    <row r="213" spans="2:2" ht="15.75" customHeight="1">
      <c r="B213" s="63"/>
    </row>
    <row r="214" spans="2:2" ht="15.75" customHeight="1">
      <c r="B214" s="63"/>
    </row>
    <row r="215" spans="2:2" ht="15.75" customHeight="1">
      <c r="B215" s="63"/>
    </row>
    <row r="216" spans="2:2" ht="15.75" customHeight="1">
      <c r="B216" s="63"/>
    </row>
    <row r="217" spans="2:2" ht="15.75" customHeight="1">
      <c r="B217" s="63"/>
    </row>
    <row r="218" spans="2:2" ht="15.75" customHeight="1">
      <c r="B218" s="63"/>
    </row>
    <row r="219" spans="2:2" ht="15.75" customHeight="1">
      <c r="B219" s="63"/>
    </row>
    <row r="220" spans="2:2" ht="15.75" customHeight="1">
      <c r="B220" s="63"/>
    </row>
    <row r="221" spans="2:2" ht="15.75" customHeight="1">
      <c r="B221" s="63"/>
    </row>
    <row r="222" spans="2:2" ht="15.75" customHeight="1">
      <c r="B222" s="63"/>
    </row>
    <row r="223" spans="2:2" ht="15.75" customHeight="1">
      <c r="B223" s="63"/>
    </row>
    <row r="224" spans="2:2" ht="15.75" customHeight="1">
      <c r="B224" s="63"/>
    </row>
    <row r="225" spans="2:2" ht="15.75" customHeight="1">
      <c r="B225" s="63"/>
    </row>
    <row r="226" spans="2:2" ht="15.75" customHeight="1">
      <c r="B226" s="63"/>
    </row>
    <row r="227" spans="2:2" ht="15.75" customHeight="1">
      <c r="B227" s="63"/>
    </row>
    <row r="228" spans="2:2" ht="15.75" customHeight="1">
      <c r="B228" s="63"/>
    </row>
    <row r="229" spans="2:2" ht="15.75" customHeight="1">
      <c r="B229" s="63"/>
    </row>
    <row r="230" spans="2:2" ht="15.75" customHeight="1">
      <c r="B230" s="63"/>
    </row>
    <row r="231" spans="2:2" ht="15.75" customHeight="1">
      <c r="B231" s="63"/>
    </row>
    <row r="232" spans="2:2" ht="15.75" customHeight="1">
      <c r="B232" s="63"/>
    </row>
    <row r="233" spans="2:2" ht="15.75" customHeight="1">
      <c r="B233" s="63"/>
    </row>
    <row r="234" spans="2:2" ht="15.75" customHeight="1">
      <c r="B234" s="63"/>
    </row>
    <row r="235" spans="2:2" ht="15.75" customHeight="1">
      <c r="B235" s="63"/>
    </row>
    <row r="236" spans="2:2" ht="15.75" customHeight="1">
      <c r="B236" s="63"/>
    </row>
    <row r="237" spans="2:2" ht="15.75" customHeight="1">
      <c r="B237" s="63"/>
    </row>
    <row r="238" spans="2:2" ht="15.75" customHeight="1">
      <c r="B238" s="63"/>
    </row>
    <row r="239" spans="2:2" ht="15.75" customHeight="1">
      <c r="B239" s="63"/>
    </row>
    <row r="240" spans="2:2" ht="15.75" customHeight="1">
      <c r="B240" s="63"/>
    </row>
    <row r="241" spans="2:2" ht="15.75" customHeight="1">
      <c r="B241" s="63"/>
    </row>
    <row r="242" spans="2:2" ht="15.75" customHeight="1">
      <c r="B242" s="63"/>
    </row>
    <row r="243" spans="2:2" ht="15.75" customHeight="1">
      <c r="B243" s="63"/>
    </row>
    <row r="244" spans="2:2" ht="15.75" customHeight="1">
      <c r="B244" s="63"/>
    </row>
    <row r="245" spans="2:2" ht="15.75" customHeight="1">
      <c r="B245" s="63"/>
    </row>
    <row r="246" spans="2:2" ht="15.75" customHeight="1">
      <c r="B246" s="63"/>
    </row>
    <row r="247" spans="2:2" ht="15.75" customHeight="1">
      <c r="B247" s="63"/>
    </row>
    <row r="248" spans="2:2" ht="15.75" customHeight="1">
      <c r="B248" s="63"/>
    </row>
    <row r="249" spans="2:2" ht="15.75" customHeight="1">
      <c r="B249" s="63"/>
    </row>
    <row r="250" spans="2:2" ht="15.75" customHeight="1">
      <c r="B250" s="63"/>
    </row>
    <row r="251" spans="2:2" ht="15.75" customHeight="1">
      <c r="B251" s="63"/>
    </row>
    <row r="252" spans="2:2" ht="15.75" customHeight="1">
      <c r="B252" s="63"/>
    </row>
    <row r="253" spans="2:2" ht="15.75" customHeight="1">
      <c r="B253" s="63"/>
    </row>
    <row r="254" spans="2:2" ht="15.75" customHeight="1">
      <c r="B254" s="63"/>
    </row>
    <row r="255" spans="2:2" ht="15.75" customHeight="1">
      <c r="B255" s="63"/>
    </row>
    <row r="256" spans="2:2" ht="15.75" customHeight="1">
      <c r="B256" s="63"/>
    </row>
    <row r="257" spans="2:2" ht="15.75" customHeight="1">
      <c r="B257" s="63"/>
    </row>
    <row r="258" spans="2:2" ht="15.75" customHeight="1">
      <c r="B258" s="63"/>
    </row>
    <row r="259" spans="2:2" ht="15.75" customHeight="1">
      <c r="B259" s="63"/>
    </row>
    <row r="260" spans="2:2" ht="15.75" customHeight="1">
      <c r="B260" s="63"/>
    </row>
    <row r="261" spans="2:2" ht="15.75" customHeight="1">
      <c r="B261" s="63"/>
    </row>
    <row r="262" spans="2:2" ht="15.75" customHeight="1">
      <c r="B262" s="63"/>
    </row>
    <row r="263" spans="2:2" ht="15.75" customHeight="1">
      <c r="B263" s="63"/>
    </row>
    <row r="264" spans="2:2" ht="15.75" customHeight="1">
      <c r="B264" s="63"/>
    </row>
    <row r="265" spans="2:2" ht="15.75" customHeight="1">
      <c r="B265" s="63"/>
    </row>
    <row r="266" spans="2:2" ht="15.75" customHeight="1">
      <c r="B266" s="63"/>
    </row>
    <row r="267" spans="2:2" ht="15.75" customHeight="1">
      <c r="B267" s="63"/>
    </row>
    <row r="268" spans="2:2" ht="15.75" customHeight="1">
      <c r="B268" s="63"/>
    </row>
    <row r="269" spans="2:2" ht="15.75" customHeight="1">
      <c r="B269" s="63"/>
    </row>
    <row r="270" spans="2:2" ht="15.75" customHeight="1">
      <c r="B270" s="63"/>
    </row>
    <row r="271" spans="2:2" ht="15.75" customHeight="1">
      <c r="B271" s="63"/>
    </row>
    <row r="272" spans="2:2" ht="15.75" customHeight="1">
      <c r="B272" s="63"/>
    </row>
    <row r="273" spans="2:2" ht="15.75" customHeight="1">
      <c r="B273" s="63"/>
    </row>
    <row r="274" spans="2:2" ht="15.75" customHeight="1">
      <c r="B274" s="63"/>
    </row>
    <row r="275" spans="2:2" ht="15.75" customHeight="1">
      <c r="B275" s="63"/>
    </row>
    <row r="276" spans="2:2" ht="15.75" customHeight="1">
      <c r="B276" s="63"/>
    </row>
    <row r="277" spans="2:2" ht="15.75" customHeight="1">
      <c r="B277" s="63"/>
    </row>
    <row r="278" spans="2:2" ht="15.75" customHeight="1">
      <c r="B278" s="63"/>
    </row>
    <row r="279" spans="2:2" ht="15.75" customHeight="1">
      <c r="B279" s="63"/>
    </row>
    <row r="280" spans="2:2" ht="15.75" customHeight="1">
      <c r="B280" s="63"/>
    </row>
    <row r="281" spans="2:2" ht="15.75" customHeight="1">
      <c r="B281" s="63"/>
    </row>
    <row r="282" spans="2:2" ht="15.75" customHeight="1">
      <c r="B282" s="63"/>
    </row>
    <row r="283" spans="2:2" ht="15.75" customHeight="1">
      <c r="B283" s="63"/>
    </row>
    <row r="284" spans="2:2" ht="15.75" customHeight="1">
      <c r="B284" s="63"/>
    </row>
    <row r="285" spans="2:2" ht="15.75" customHeight="1">
      <c r="B285" s="63"/>
    </row>
    <row r="286" spans="2:2" ht="15.75" customHeight="1">
      <c r="B286" s="63"/>
    </row>
    <row r="287" spans="2:2" ht="15.75" customHeight="1">
      <c r="B287" s="63"/>
    </row>
    <row r="288" spans="2:2" ht="15.75" customHeight="1">
      <c r="B288" s="63"/>
    </row>
    <row r="289" spans="2:2" ht="15.75" customHeight="1">
      <c r="B289" s="63"/>
    </row>
    <row r="290" spans="2:2" ht="15.75" customHeight="1">
      <c r="B290" s="63"/>
    </row>
    <row r="291" spans="2:2" ht="15.75" customHeight="1">
      <c r="B291" s="63"/>
    </row>
    <row r="292" spans="2:2" ht="15.75" customHeight="1">
      <c r="B292" s="63"/>
    </row>
    <row r="293" spans="2:2" ht="15.75" customHeight="1">
      <c r="B293" s="63"/>
    </row>
    <row r="294" spans="2:2" ht="15.75" customHeight="1">
      <c r="B294" s="63"/>
    </row>
    <row r="295" spans="2:2" ht="15.75" customHeight="1">
      <c r="B295" s="63"/>
    </row>
    <row r="296" spans="2:2" ht="15.75" customHeight="1">
      <c r="B296" s="63"/>
    </row>
    <row r="297" spans="2:2" ht="15.75" customHeight="1">
      <c r="B297" s="63"/>
    </row>
    <row r="298" spans="2:2" ht="15.75" customHeight="1">
      <c r="B298" s="63"/>
    </row>
    <row r="299" spans="2:2" ht="15.75" customHeight="1">
      <c r="B299" s="63"/>
    </row>
    <row r="300" spans="2:2" ht="15.75" customHeight="1">
      <c r="B300" s="63"/>
    </row>
    <row r="301" spans="2:2" ht="15.75" customHeight="1">
      <c r="B301" s="63"/>
    </row>
    <row r="302" spans="2:2" ht="15.75" customHeight="1">
      <c r="B302" s="63"/>
    </row>
    <row r="303" spans="2:2" ht="15.75" customHeight="1">
      <c r="B303" s="63"/>
    </row>
    <row r="304" spans="2:2" ht="15.75" customHeight="1">
      <c r="B304" s="63"/>
    </row>
    <row r="305" spans="2:2" ht="15.75" customHeight="1">
      <c r="B305" s="63"/>
    </row>
    <row r="306" spans="2:2" ht="15.75" customHeight="1">
      <c r="B306" s="63"/>
    </row>
    <row r="307" spans="2:2" ht="15.75" customHeight="1">
      <c r="B307" s="63"/>
    </row>
    <row r="308" spans="2:2" ht="15.75" customHeight="1">
      <c r="B308" s="63"/>
    </row>
    <row r="309" spans="2:2" ht="15.75" customHeight="1">
      <c r="B309" s="63"/>
    </row>
    <row r="310" spans="2:2" ht="15.75" customHeight="1">
      <c r="B310" s="63"/>
    </row>
    <row r="311" spans="2:2" ht="15.75" customHeight="1">
      <c r="B311" s="63"/>
    </row>
    <row r="312" spans="2:2" ht="15.75" customHeight="1">
      <c r="B312" s="63"/>
    </row>
    <row r="313" spans="2:2" ht="15.75" customHeight="1">
      <c r="B313" s="63"/>
    </row>
    <row r="314" spans="2:2" ht="15.75" customHeight="1">
      <c r="B314" s="63"/>
    </row>
    <row r="315" spans="2:2" ht="15.75" customHeight="1">
      <c r="B315" s="63"/>
    </row>
    <row r="316" spans="2:2" ht="15.75" customHeight="1">
      <c r="B316" s="63"/>
    </row>
    <row r="317" spans="2:2" ht="15.75" customHeight="1">
      <c r="B317" s="63"/>
    </row>
    <row r="318" spans="2:2" ht="15.75" customHeight="1">
      <c r="B318" s="63"/>
    </row>
    <row r="319" spans="2:2" ht="15.75" customHeight="1">
      <c r="B319" s="63"/>
    </row>
    <row r="320" spans="2:2" ht="15.75" customHeight="1">
      <c r="B320" s="63"/>
    </row>
    <row r="321" spans="2:2" ht="15.75" customHeight="1">
      <c r="B321" s="63"/>
    </row>
    <row r="322" spans="2:2" ht="15.75" customHeight="1">
      <c r="B322" s="63"/>
    </row>
    <row r="323" spans="2:2" ht="15.75" customHeight="1">
      <c r="B323" s="63"/>
    </row>
    <row r="324" spans="2:2" ht="15.75" customHeight="1">
      <c r="B324" s="63"/>
    </row>
    <row r="325" spans="2:2" ht="15.75" customHeight="1">
      <c r="B325" s="63"/>
    </row>
    <row r="326" spans="2:2" ht="15.75" customHeight="1">
      <c r="B326" s="63"/>
    </row>
    <row r="327" spans="2:2" ht="15.75" customHeight="1">
      <c r="B327" s="63"/>
    </row>
    <row r="328" spans="2:2" ht="15.75" customHeight="1">
      <c r="B328" s="63"/>
    </row>
    <row r="329" spans="2:2" ht="15.75" customHeight="1">
      <c r="B329" s="63"/>
    </row>
    <row r="330" spans="2:2" ht="15.75" customHeight="1">
      <c r="B330" s="63"/>
    </row>
    <row r="331" spans="2:2" ht="15.75" customHeight="1">
      <c r="B331" s="63"/>
    </row>
    <row r="332" spans="2:2" ht="15.75" customHeight="1">
      <c r="B332" s="63"/>
    </row>
    <row r="333" spans="2:2" ht="15.75" customHeight="1">
      <c r="B333" s="63"/>
    </row>
    <row r="334" spans="2:2" ht="15.75" customHeight="1">
      <c r="B334" s="63"/>
    </row>
    <row r="335" spans="2:2" ht="15.75" customHeight="1">
      <c r="B335" s="63"/>
    </row>
    <row r="336" spans="2:2" ht="15.75" customHeight="1">
      <c r="B336" s="63"/>
    </row>
    <row r="337" spans="2:2" ht="15.75" customHeight="1">
      <c r="B337" s="63"/>
    </row>
    <row r="338" spans="2:2" ht="15.75" customHeight="1">
      <c r="B338" s="63"/>
    </row>
    <row r="339" spans="2:2" ht="15.75" customHeight="1">
      <c r="B339" s="63"/>
    </row>
    <row r="340" spans="2:2" ht="15.75" customHeight="1">
      <c r="B340" s="63"/>
    </row>
    <row r="341" spans="2:2" ht="15.75" customHeight="1">
      <c r="B341" s="63"/>
    </row>
    <row r="342" spans="2:2" ht="15.75" customHeight="1">
      <c r="B342" s="63"/>
    </row>
    <row r="343" spans="2:2" ht="15.75" customHeight="1">
      <c r="B343" s="63"/>
    </row>
    <row r="344" spans="2:2" ht="15.75" customHeight="1">
      <c r="B344" s="63"/>
    </row>
    <row r="345" spans="2:2" ht="15.75" customHeight="1">
      <c r="B345" s="63"/>
    </row>
    <row r="346" spans="2:2" ht="15.75" customHeight="1">
      <c r="B346" s="63"/>
    </row>
    <row r="347" spans="2:2" ht="15.75" customHeight="1">
      <c r="B347" s="63"/>
    </row>
    <row r="348" spans="2:2" ht="15.75" customHeight="1">
      <c r="B348" s="63"/>
    </row>
    <row r="349" spans="2:2" ht="15.75" customHeight="1">
      <c r="B349" s="63"/>
    </row>
    <row r="350" spans="2:2" ht="15.75" customHeight="1">
      <c r="B350" s="63"/>
    </row>
    <row r="351" spans="2:2" ht="15.75" customHeight="1">
      <c r="B351" s="63"/>
    </row>
    <row r="352" spans="2:2" ht="15.75" customHeight="1">
      <c r="B352" s="63"/>
    </row>
    <row r="353" spans="2:2" ht="15.75" customHeight="1">
      <c r="B353" s="63"/>
    </row>
    <row r="354" spans="2:2" ht="15.75" customHeight="1">
      <c r="B354" s="63"/>
    </row>
    <row r="355" spans="2:2" ht="15.75" customHeight="1">
      <c r="B355" s="63"/>
    </row>
    <row r="356" spans="2:2" ht="15.75" customHeight="1">
      <c r="B356" s="63"/>
    </row>
    <row r="357" spans="2:2" ht="15.75" customHeight="1">
      <c r="B357" s="63"/>
    </row>
    <row r="358" spans="2:2" ht="15.75" customHeight="1">
      <c r="B358" s="63"/>
    </row>
    <row r="359" spans="2:2" ht="15.75" customHeight="1">
      <c r="B359" s="63"/>
    </row>
    <row r="360" spans="2:2" ht="15.75" customHeight="1">
      <c r="B360" s="63"/>
    </row>
    <row r="361" spans="2:2" ht="15.75" customHeight="1">
      <c r="B361" s="63"/>
    </row>
    <row r="362" spans="2:2" ht="15.75" customHeight="1">
      <c r="B362" s="63"/>
    </row>
    <row r="363" spans="2:2" ht="15.75" customHeight="1">
      <c r="B363" s="63"/>
    </row>
    <row r="364" spans="2:2" ht="15.75" customHeight="1">
      <c r="B364" s="63"/>
    </row>
    <row r="365" spans="2:2" ht="15.75" customHeight="1">
      <c r="B365" s="63"/>
    </row>
    <row r="366" spans="2:2" ht="15.75" customHeight="1">
      <c r="B366" s="63"/>
    </row>
    <row r="367" spans="2:2" ht="15.75" customHeight="1">
      <c r="B367" s="63"/>
    </row>
    <row r="368" spans="2:2" ht="15.75" customHeight="1">
      <c r="B368" s="63"/>
    </row>
    <row r="369" spans="2:2" ht="15.75" customHeight="1">
      <c r="B369" s="63"/>
    </row>
    <row r="370" spans="2:2" ht="15.75" customHeight="1">
      <c r="B370" s="63"/>
    </row>
    <row r="371" spans="2:2" ht="15.75" customHeight="1">
      <c r="B371" s="63"/>
    </row>
    <row r="372" spans="2:2" ht="15.75" customHeight="1">
      <c r="B372" s="63"/>
    </row>
    <row r="373" spans="2:2" ht="15.75" customHeight="1">
      <c r="B373" s="63"/>
    </row>
    <row r="374" spans="2:2" ht="15.75" customHeight="1">
      <c r="B374" s="63"/>
    </row>
    <row r="375" spans="2:2" ht="15.75" customHeight="1">
      <c r="B375" s="63"/>
    </row>
    <row r="376" spans="2:2" ht="15.75" customHeight="1">
      <c r="B376" s="63"/>
    </row>
    <row r="377" spans="2:2" ht="15.75" customHeight="1">
      <c r="B377" s="63"/>
    </row>
    <row r="378" spans="2:2" ht="15.75" customHeight="1">
      <c r="B378" s="63"/>
    </row>
    <row r="379" spans="2:2" ht="15.75" customHeight="1">
      <c r="B379" s="63"/>
    </row>
    <row r="380" spans="2:2" ht="15.75" customHeight="1">
      <c r="B380" s="63"/>
    </row>
    <row r="381" spans="2:2" ht="15.75" customHeight="1">
      <c r="B381" s="63"/>
    </row>
    <row r="382" spans="2:2" ht="15.75" customHeight="1">
      <c r="B382" s="63"/>
    </row>
    <row r="383" spans="2:2" ht="15.75" customHeight="1">
      <c r="B383" s="63"/>
    </row>
    <row r="384" spans="2:2" ht="15.75" customHeight="1">
      <c r="B384" s="63"/>
    </row>
    <row r="385" spans="2:2" ht="15.75" customHeight="1">
      <c r="B385" s="63"/>
    </row>
    <row r="386" spans="2:2" ht="15.75" customHeight="1">
      <c r="B386" s="63"/>
    </row>
    <row r="387" spans="2:2" ht="15.75" customHeight="1">
      <c r="B387" s="63"/>
    </row>
    <row r="388" spans="2:2" ht="15.75" customHeight="1">
      <c r="B388" s="63"/>
    </row>
    <row r="389" spans="2:2" ht="15.75" customHeight="1">
      <c r="B389" s="63"/>
    </row>
    <row r="390" spans="2:2" ht="15.75" customHeight="1">
      <c r="B390" s="63"/>
    </row>
    <row r="391" spans="2:2" ht="15.75" customHeight="1">
      <c r="B391" s="63"/>
    </row>
    <row r="392" spans="2:2" ht="15.75" customHeight="1">
      <c r="B392" s="63"/>
    </row>
    <row r="393" spans="2:2" ht="15.75" customHeight="1">
      <c r="B393" s="63"/>
    </row>
    <row r="394" spans="2:2" ht="15.75" customHeight="1">
      <c r="B394" s="63"/>
    </row>
    <row r="395" spans="2:2" ht="15.75" customHeight="1">
      <c r="B395" s="63"/>
    </row>
    <row r="396" spans="2:2" ht="15.75" customHeight="1">
      <c r="B396" s="63"/>
    </row>
    <row r="397" spans="2:2" ht="15.75" customHeight="1">
      <c r="B397" s="63"/>
    </row>
    <row r="398" spans="2:2" ht="15.75" customHeight="1">
      <c r="B398" s="63"/>
    </row>
    <row r="399" spans="2:2" ht="15.75" customHeight="1">
      <c r="B399" s="63"/>
    </row>
    <row r="400" spans="2:2" ht="15.75" customHeight="1">
      <c r="B400" s="63"/>
    </row>
    <row r="401" spans="2:2" ht="15.75" customHeight="1">
      <c r="B401" s="63"/>
    </row>
    <row r="402" spans="2:2" ht="15.75" customHeight="1">
      <c r="B402" s="63"/>
    </row>
    <row r="403" spans="2:2" ht="15.75" customHeight="1">
      <c r="B403" s="63"/>
    </row>
    <row r="404" spans="2:2" ht="15.75" customHeight="1">
      <c r="B404" s="63"/>
    </row>
    <row r="405" spans="2:2" ht="15.75" customHeight="1">
      <c r="B405" s="63"/>
    </row>
    <row r="406" spans="2:2" ht="15.75" customHeight="1">
      <c r="B406" s="63"/>
    </row>
    <row r="407" spans="2:2" ht="15.75" customHeight="1">
      <c r="B407" s="63"/>
    </row>
    <row r="408" spans="2:2" ht="15.75" customHeight="1">
      <c r="B408" s="63"/>
    </row>
    <row r="409" spans="2:2" ht="15.75" customHeight="1">
      <c r="B409" s="63"/>
    </row>
    <row r="410" spans="2:2" ht="15.75" customHeight="1">
      <c r="B410" s="63"/>
    </row>
    <row r="411" spans="2:2" ht="15.75" customHeight="1">
      <c r="B411" s="63"/>
    </row>
    <row r="412" spans="2:2" ht="15.75" customHeight="1">
      <c r="B412" s="63"/>
    </row>
    <row r="413" spans="2:2" ht="15.75" customHeight="1">
      <c r="B413" s="63"/>
    </row>
    <row r="414" spans="2:2" ht="15.75" customHeight="1">
      <c r="B414" s="63"/>
    </row>
    <row r="415" spans="2:2" ht="15.75" customHeight="1">
      <c r="B415" s="63"/>
    </row>
    <row r="416" spans="2:2" ht="15.75" customHeight="1">
      <c r="B416" s="63"/>
    </row>
    <row r="417" spans="2:2" ht="15.75" customHeight="1">
      <c r="B417" s="63"/>
    </row>
    <row r="418" spans="2:2" ht="15.75" customHeight="1">
      <c r="B418" s="63"/>
    </row>
    <row r="419" spans="2:2" ht="15.75" customHeight="1">
      <c r="B419" s="63"/>
    </row>
    <row r="420" spans="2:2" ht="15.75" customHeight="1">
      <c r="B420" s="63"/>
    </row>
    <row r="421" spans="2:2" ht="15.75" customHeight="1">
      <c r="B421" s="63"/>
    </row>
    <row r="422" spans="2:2" ht="15.75" customHeight="1">
      <c r="B422" s="63"/>
    </row>
    <row r="423" spans="2:2" ht="15.75" customHeight="1">
      <c r="B423" s="63"/>
    </row>
    <row r="424" spans="2:2" ht="15.75" customHeight="1">
      <c r="B424" s="63"/>
    </row>
    <row r="425" spans="2:2" ht="15.75" customHeight="1">
      <c r="B425" s="63"/>
    </row>
    <row r="426" spans="2:2" ht="15.75" customHeight="1">
      <c r="B426" s="63"/>
    </row>
    <row r="427" spans="2:2" ht="15.75" customHeight="1">
      <c r="B427" s="63"/>
    </row>
    <row r="428" spans="2:2" ht="15.75" customHeight="1">
      <c r="B428" s="63"/>
    </row>
    <row r="429" spans="2:2" ht="15.75" customHeight="1">
      <c r="B429" s="63"/>
    </row>
    <row r="430" spans="2:2" ht="15.75" customHeight="1">
      <c r="B430" s="63"/>
    </row>
    <row r="431" spans="2:2" ht="15.75" customHeight="1">
      <c r="B431" s="63"/>
    </row>
    <row r="432" spans="2:2" ht="15.75" customHeight="1">
      <c r="B432" s="63"/>
    </row>
    <row r="433" spans="2:2" ht="15.75" customHeight="1">
      <c r="B433" s="63"/>
    </row>
    <row r="434" spans="2:2" ht="15.75" customHeight="1">
      <c r="B434" s="63"/>
    </row>
    <row r="435" spans="2:2" ht="15.75" customHeight="1">
      <c r="B435" s="63"/>
    </row>
    <row r="436" spans="2:2" ht="15.75" customHeight="1">
      <c r="B436" s="63"/>
    </row>
    <row r="437" spans="2:2" ht="15.75" customHeight="1">
      <c r="B437" s="63"/>
    </row>
    <row r="438" spans="2:2" ht="15.75" customHeight="1">
      <c r="B438" s="63"/>
    </row>
    <row r="439" spans="2:2" ht="15.75" customHeight="1">
      <c r="B439" s="63"/>
    </row>
    <row r="440" spans="2:2" ht="15.75" customHeight="1">
      <c r="B440" s="63"/>
    </row>
    <row r="441" spans="2:2" ht="15.75" customHeight="1">
      <c r="B441" s="63"/>
    </row>
    <row r="442" spans="2:2" ht="15.75" customHeight="1">
      <c r="B442" s="63"/>
    </row>
    <row r="443" spans="2:2" ht="15.75" customHeight="1">
      <c r="B443" s="63"/>
    </row>
    <row r="444" spans="2:2" ht="15.75" customHeight="1">
      <c r="B444" s="63"/>
    </row>
    <row r="445" spans="2:2" ht="15.75" customHeight="1">
      <c r="B445" s="63"/>
    </row>
    <row r="446" spans="2:2" ht="15.75" customHeight="1">
      <c r="B446" s="63"/>
    </row>
    <row r="447" spans="2:2" ht="15.75" customHeight="1">
      <c r="B447" s="63"/>
    </row>
    <row r="448" spans="2:2" ht="15.75" customHeight="1">
      <c r="B448" s="63"/>
    </row>
    <row r="449" spans="2:2" ht="15.75" customHeight="1">
      <c r="B449" s="63"/>
    </row>
    <row r="450" spans="2:2" ht="15.75" customHeight="1">
      <c r="B450" s="63"/>
    </row>
    <row r="451" spans="2:2" ht="15.75" customHeight="1">
      <c r="B451" s="63"/>
    </row>
    <row r="452" spans="2:2" ht="15.75" customHeight="1">
      <c r="B452" s="63"/>
    </row>
    <row r="453" spans="2:2" ht="15.75" customHeight="1">
      <c r="B453" s="63"/>
    </row>
    <row r="454" spans="2:2" ht="15.75" customHeight="1">
      <c r="B454" s="63"/>
    </row>
    <row r="455" spans="2:2" ht="15.75" customHeight="1">
      <c r="B455" s="63"/>
    </row>
    <row r="456" spans="2:2" ht="15.75" customHeight="1">
      <c r="B456" s="63"/>
    </row>
    <row r="457" spans="2:2" ht="15.75" customHeight="1">
      <c r="B457" s="63"/>
    </row>
    <row r="458" spans="2:2" ht="15.75" customHeight="1">
      <c r="B458" s="63"/>
    </row>
    <row r="459" spans="2:2" ht="15.75" customHeight="1">
      <c r="B459" s="63"/>
    </row>
    <row r="460" spans="2:2" ht="15.75" customHeight="1">
      <c r="B460" s="63"/>
    </row>
    <row r="461" spans="2:2" ht="15.75" customHeight="1">
      <c r="B461" s="63"/>
    </row>
    <row r="462" spans="2:2" ht="15.75" customHeight="1">
      <c r="B462" s="63"/>
    </row>
    <row r="463" spans="2:2" ht="15.75" customHeight="1">
      <c r="B463" s="63"/>
    </row>
    <row r="464" spans="2:2" ht="15.75" customHeight="1">
      <c r="B464" s="63"/>
    </row>
    <row r="465" spans="2:2" ht="15.75" customHeight="1">
      <c r="B465" s="63"/>
    </row>
    <row r="466" spans="2:2" ht="15.75" customHeight="1">
      <c r="B466" s="63"/>
    </row>
    <row r="467" spans="2:2" ht="15.75" customHeight="1">
      <c r="B467" s="63"/>
    </row>
    <row r="468" spans="2:2" ht="15.75" customHeight="1">
      <c r="B468" s="63"/>
    </row>
    <row r="469" spans="2:2" ht="15.75" customHeight="1">
      <c r="B469" s="63"/>
    </row>
    <row r="470" spans="2:2" ht="15.75" customHeight="1">
      <c r="B470" s="63"/>
    </row>
    <row r="471" spans="2:2" ht="15.75" customHeight="1">
      <c r="B471" s="63"/>
    </row>
    <row r="472" spans="2:2" ht="15.75" customHeight="1">
      <c r="B472" s="63"/>
    </row>
    <row r="473" spans="2:2" ht="15.75" customHeight="1">
      <c r="B473" s="63"/>
    </row>
    <row r="474" spans="2:2" ht="15.75" customHeight="1">
      <c r="B474" s="63"/>
    </row>
    <row r="475" spans="2:2" ht="15.75" customHeight="1">
      <c r="B475" s="63"/>
    </row>
    <row r="476" spans="2:2" ht="15.75" customHeight="1">
      <c r="B476" s="63"/>
    </row>
    <row r="477" spans="2:2" ht="15.75" customHeight="1">
      <c r="B477" s="63"/>
    </row>
    <row r="478" spans="2:2" ht="15.75" customHeight="1">
      <c r="B478" s="63"/>
    </row>
    <row r="479" spans="2:2" ht="15.75" customHeight="1">
      <c r="B479" s="63"/>
    </row>
    <row r="480" spans="2:2" ht="15.75" customHeight="1">
      <c r="B480" s="63"/>
    </row>
    <row r="481" spans="2:2" ht="15.75" customHeight="1">
      <c r="B481" s="63"/>
    </row>
    <row r="482" spans="2:2" ht="15.75" customHeight="1">
      <c r="B482" s="63"/>
    </row>
    <row r="483" spans="2:2" ht="15.75" customHeight="1">
      <c r="B483" s="63"/>
    </row>
    <row r="484" spans="2:2" ht="15.75" customHeight="1">
      <c r="B484" s="63"/>
    </row>
    <row r="485" spans="2:2" ht="15.75" customHeight="1">
      <c r="B485" s="63"/>
    </row>
    <row r="486" spans="2:2" ht="15.75" customHeight="1">
      <c r="B486" s="63"/>
    </row>
    <row r="487" spans="2:2" ht="15.75" customHeight="1">
      <c r="B487" s="63"/>
    </row>
    <row r="488" spans="2:2" ht="15.75" customHeight="1">
      <c r="B488" s="63"/>
    </row>
    <row r="489" spans="2:2" ht="15.75" customHeight="1">
      <c r="B489" s="63"/>
    </row>
    <row r="490" spans="2:2" ht="15.75" customHeight="1">
      <c r="B490" s="63"/>
    </row>
    <row r="491" spans="2:2" ht="15.75" customHeight="1">
      <c r="B491" s="63"/>
    </row>
    <row r="492" spans="2:2" ht="15.75" customHeight="1">
      <c r="B492" s="63"/>
    </row>
    <row r="493" spans="2:2" ht="15.75" customHeight="1">
      <c r="B493" s="63"/>
    </row>
    <row r="494" spans="2:2" ht="15.75" customHeight="1">
      <c r="B494" s="63"/>
    </row>
    <row r="495" spans="2:2" ht="15.75" customHeight="1">
      <c r="B495" s="63"/>
    </row>
    <row r="496" spans="2:2" ht="15.75" customHeight="1">
      <c r="B496" s="63"/>
    </row>
    <row r="497" spans="2:2" ht="15.75" customHeight="1">
      <c r="B497" s="63"/>
    </row>
    <row r="498" spans="2:2" ht="15.75" customHeight="1">
      <c r="B498" s="63"/>
    </row>
    <row r="499" spans="2:2" ht="15.75" customHeight="1">
      <c r="B499" s="63"/>
    </row>
    <row r="500" spans="2:2" ht="15.75" customHeight="1">
      <c r="B500" s="63"/>
    </row>
    <row r="501" spans="2:2" ht="15.75" customHeight="1">
      <c r="B501" s="63"/>
    </row>
    <row r="502" spans="2:2" ht="15.75" customHeight="1">
      <c r="B502" s="63"/>
    </row>
    <row r="503" spans="2:2" ht="15.75" customHeight="1">
      <c r="B503" s="63"/>
    </row>
    <row r="504" spans="2:2" ht="15.75" customHeight="1">
      <c r="B504" s="63"/>
    </row>
    <row r="505" spans="2:2" ht="15.75" customHeight="1">
      <c r="B505" s="63"/>
    </row>
    <row r="506" spans="2:2" ht="15.75" customHeight="1">
      <c r="B506" s="63"/>
    </row>
    <row r="507" spans="2:2" ht="15.75" customHeight="1">
      <c r="B507" s="63"/>
    </row>
    <row r="508" spans="2:2" ht="15.75" customHeight="1">
      <c r="B508" s="63"/>
    </row>
    <row r="509" spans="2:2" ht="15.75" customHeight="1">
      <c r="B509" s="63"/>
    </row>
    <row r="510" spans="2:2" ht="15.75" customHeight="1">
      <c r="B510" s="63"/>
    </row>
    <row r="511" spans="2:2" ht="15.75" customHeight="1">
      <c r="B511" s="63"/>
    </row>
    <row r="512" spans="2:2" ht="15.75" customHeight="1">
      <c r="B512" s="63"/>
    </row>
    <row r="513" spans="2:2" ht="15.75" customHeight="1">
      <c r="B513" s="63"/>
    </row>
    <row r="514" spans="2:2" ht="15.75" customHeight="1">
      <c r="B514" s="63"/>
    </row>
    <row r="515" spans="2:2" ht="15.75" customHeight="1">
      <c r="B515" s="63"/>
    </row>
    <row r="516" spans="2:2" ht="15.75" customHeight="1">
      <c r="B516" s="63"/>
    </row>
    <row r="517" spans="2:2" ht="15.75" customHeight="1">
      <c r="B517" s="63"/>
    </row>
    <row r="518" spans="2:2" ht="15.75" customHeight="1">
      <c r="B518" s="63"/>
    </row>
    <row r="519" spans="2:2" ht="15.75" customHeight="1">
      <c r="B519" s="63"/>
    </row>
    <row r="520" spans="2:2" ht="15.75" customHeight="1">
      <c r="B520" s="63"/>
    </row>
    <row r="521" spans="2:2" ht="15.75" customHeight="1">
      <c r="B521" s="63"/>
    </row>
    <row r="522" spans="2:2" ht="15.75" customHeight="1">
      <c r="B522" s="63"/>
    </row>
    <row r="523" spans="2:2" ht="15.75" customHeight="1">
      <c r="B523" s="63"/>
    </row>
    <row r="524" spans="2:2" ht="15.75" customHeight="1">
      <c r="B524" s="63"/>
    </row>
    <row r="525" spans="2:2" ht="15.75" customHeight="1">
      <c r="B525" s="63"/>
    </row>
    <row r="526" spans="2:2" ht="15.75" customHeight="1">
      <c r="B526" s="63"/>
    </row>
    <row r="527" spans="2:2" ht="15.75" customHeight="1">
      <c r="B527" s="63"/>
    </row>
    <row r="528" spans="2:2" ht="15.75" customHeight="1">
      <c r="B528" s="63"/>
    </row>
    <row r="529" spans="2:2" ht="15.75" customHeight="1">
      <c r="B529" s="63"/>
    </row>
    <row r="530" spans="2:2" ht="15.75" customHeight="1">
      <c r="B530" s="63"/>
    </row>
    <row r="531" spans="2:2" ht="15.75" customHeight="1">
      <c r="B531" s="63"/>
    </row>
    <row r="532" spans="2:2" ht="15.75" customHeight="1">
      <c r="B532" s="63"/>
    </row>
    <row r="533" spans="2:2" ht="15.75" customHeight="1">
      <c r="B533" s="63"/>
    </row>
    <row r="534" spans="2:2" ht="15.75" customHeight="1">
      <c r="B534" s="63"/>
    </row>
    <row r="535" spans="2:2" ht="15.75" customHeight="1">
      <c r="B535" s="63"/>
    </row>
    <row r="536" spans="2:2" ht="15.75" customHeight="1">
      <c r="B536" s="63"/>
    </row>
    <row r="537" spans="2:2" ht="15.75" customHeight="1">
      <c r="B537" s="63"/>
    </row>
    <row r="538" spans="2:2" ht="15.75" customHeight="1">
      <c r="B538" s="63"/>
    </row>
    <row r="539" spans="2:2" ht="15.75" customHeight="1">
      <c r="B539" s="63"/>
    </row>
    <row r="540" spans="2:2" ht="15.75" customHeight="1">
      <c r="B540" s="63"/>
    </row>
    <row r="541" spans="2:2" ht="15.75" customHeight="1">
      <c r="B541" s="63"/>
    </row>
    <row r="542" spans="2:2" ht="15.75" customHeight="1">
      <c r="B542" s="63"/>
    </row>
    <row r="543" spans="2:2" ht="15.75" customHeight="1">
      <c r="B543" s="63"/>
    </row>
    <row r="544" spans="2:2" ht="15.75" customHeight="1">
      <c r="B544" s="63"/>
    </row>
    <row r="545" spans="2:2" ht="15.75" customHeight="1">
      <c r="B545" s="63"/>
    </row>
    <row r="546" spans="2:2" ht="15.75" customHeight="1">
      <c r="B546" s="63"/>
    </row>
    <row r="547" spans="2:2" ht="15.75" customHeight="1">
      <c r="B547" s="63"/>
    </row>
    <row r="548" spans="2:2" ht="15.75" customHeight="1">
      <c r="B548" s="63"/>
    </row>
    <row r="549" spans="2:2" ht="15.75" customHeight="1">
      <c r="B549" s="63"/>
    </row>
    <row r="550" spans="2:2" ht="15.75" customHeight="1">
      <c r="B550" s="63"/>
    </row>
    <row r="551" spans="2:2" ht="15.75" customHeight="1">
      <c r="B551" s="63"/>
    </row>
    <row r="552" spans="2:2" ht="15.75" customHeight="1">
      <c r="B552" s="63"/>
    </row>
    <row r="553" spans="2:2" ht="15.75" customHeight="1">
      <c r="B553" s="63"/>
    </row>
    <row r="554" spans="2:2" ht="15.75" customHeight="1">
      <c r="B554" s="63"/>
    </row>
    <row r="555" spans="2:2" ht="15.75" customHeight="1">
      <c r="B555" s="63"/>
    </row>
    <row r="556" spans="2:2" ht="15.75" customHeight="1">
      <c r="B556" s="63"/>
    </row>
    <row r="557" spans="2:2" ht="15.75" customHeight="1">
      <c r="B557" s="63"/>
    </row>
    <row r="558" spans="2:2" ht="15.75" customHeight="1">
      <c r="B558" s="63"/>
    </row>
    <row r="559" spans="2:2" ht="15.75" customHeight="1">
      <c r="B559" s="63"/>
    </row>
    <row r="560" spans="2:2" ht="15.75" customHeight="1">
      <c r="B560" s="63"/>
    </row>
    <row r="561" spans="2:2" ht="15.75" customHeight="1">
      <c r="B561" s="63"/>
    </row>
    <row r="562" spans="2:2" ht="15.75" customHeight="1">
      <c r="B562" s="63"/>
    </row>
    <row r="563" spans="2:2" ht="15.75" customHeight="1">
      <c r="B563" s="63"/>
    </row>
    <row r="564" spans="2:2" ht="15.75" customHeight="1">
      <c r="B564" s="63"/>
    </row>
    <row r="565" spans="2:2" ht="15.75" customHeight="1">
      <c r="B565" s="63"/>
    </row>
    <row r="566" spans="2:2" ht="15.75" customHeight="1">
      <c r="B566" s="63"/>
    </row>
    <row r="567" spans="2:2" ht="15.75" customHeight="1">
      <c r="B567" s="63"/>
    </row>
    <row r="568" spans="2:2" ht="15.75" customHeight="1">
      <c r="B568" s="63"/>
    </row>
    <row r="569" spans="2:2" ht="15.75" customHeight="1">
      <c r="B569" s="63"/>
    </row>
    <row r="570" spans="2:2" ht="15.75" customHeight="1">
      <c r="B570" s="63"/>
    </row>
    <row r="571" spans="2:2" ht="15.75" customHeight="1">
      <c r="B571" s="63"/>
    </row>
    <row r="572" spans="2:2" ht="15.75" customHeight="1">
      <c r="B572" s="63"/>
    </row>
    <row r="573" spans="2:2" ht="15.75" customHeight="1">
      <c r="B573" s="63"/>
    </row>
    <row r="574" spans="2:2" ht="15.75" customHeight="1">
      <c r="B574" s="63"/>
    </row>
    <row r="575" spans="2:2" ht="15.75" customHeight="1">
      <c r="B575" s="63"/>
    </row>
    <row r="576" spans="2:2" ht="15.75" customHeight="1">
      <c r="B576" s="63"/>
    </row>
    <row r="577" spans="2:2" ht="15.75" customHeight="1">
      <c r="B577" s="63"/>
    </row>
    <row r="578" spans="2:2" ht="15.75" customHeight="1">
      <c r="B578" s="63"/>
    </row>
    <row r="579" spans="2:2" ht="15.75" customHeight="1">
      <c r="B579" s="63"/>
    </row>
    <row r="580" spans="2:2" ht="15.75" customHeight="1">
      <c r="B580" s="63"/>
    </row>
    <row r="581" spans="2:2" ht="15.75" customHeight="1">
      <c r="B581" s="63"/>
    </row>
    <row r="582" spans="2:2" ht="15.75" customHeight="1">
      <c r="B582" s="63"/>
    </row>
    <row r="583" spans="2:2" ht="15.75" customHeight="1">
      <c r="B583" s="63"/>
    </row>
    <row r="584" spans="2:2" ht="15.75" customHeight="1">
      <c r="B584" s="63"/>
    </row>
    <row r="585" spans="2:2" ht="15.75" customHeight="1">
      <c r="B585" s="63"/>
    </row>
    <row r="586" spans="2:2" ht="15.75" customHeight="1">
      <c r="B586" s="63"/>
    </row>
    <row r="587" spans="2:2" ht="15.75" customHeight="1">
      <c r="B587" s="63"/>
    </row>
    <row r="588" spans="2:2" ht="15.75" customHeight="1">
      <c r="B588" s="63"/>
    </row>
    <row r="589" spans="2:2" ht="15.75" customHeight="1">
      <c r="B589" s="63"/>
    </row>
    <row r="590" spans="2:2" ht="15.75" customHeight="1">
      <c r="B590" s="63"/>
    </row>
    <row r="591" spans="2:2" ht="15.75" customHeight="1">
      <c r="B591" s="63"/>
    </row>
    <row r="592" spans="2:2" ht="15.75" customHeight="1">
      <c r="B592" s="63"/>
    </row>
    <row r="593" spans="2:2" ht="15.75" customHeight="1">
      <c r="B593" s="63"/>
    </row>
    <row r="594" spans="2:2" ht="15.75" customHeight="1">
      <c r="B594" s="63"/>
    </row>
    <row r="595" spans="2:2" ht="15.75" customHeight="1">
      <c r="B595" s="63"/>
    </row>
    <row r="596" spans="2:2" ht="15.75" customHeight="1">
      <c r="B596" s="63"/>
    </row>
    <row r="597" spans="2:2" ht="15.75" customHeight="1">
      <c r="B597" s="63"/>
    </row>
    <row r="598" spans="2:2" ht="15.75" customHeight="1">
      <c r="B598" s="63"/>
    </row>
    <row r="599" spans="2:2" ht="15.75" customHeight="1">
      <c r="B599" s="63"/>
    </row>
    <row r="600" spans="2:2" ht="15.75" customHeight="1">
      <c r="B600" s="63"/>
    </row>
    <row r="601" spans="2:2" ht="15.75" customHeight="1">
      <c r="B601" s="63"/>
    </row>
    <row r="602" spans="2:2" ht="15.75" customHeight="1">
      <c r="B602" s="63"/>
    </row>
    <row r="603" spans="2:2" ht="15.75" customHeight="1">
      <c r="B603" s="63"/>
    </row>
    <row r="604" spans="2:2" ht="15.75" customHeight="1">
      <c r="B604" s="63"/>
    </row>
    <row r="605" spans="2:2" ht="15.75" customHeight="1">
      <c r="B605" s="63"/>
    </row>
    <row r="606" spans="2:2" ht="15.75" customHeight="1">
      <c r="B606" s="63"/>
    </row>
    <row r="607" spans="2:2" ht="15.75" customHeight="1">
      <c r="B607" s="63"/>
    </row>
    <row r="608" spans="2:2" ht="15.75" customHeight="1">
      <c r="B608" s="63"/>
    </row>
    <row r="609" spans="2:2" ht="15.75" customHeight="1">
      <c r="B609" s="63"/>
    </row>
    <row r="610" spans="2:2" ht="15.75" customHeight="1">
      <c r="B610" s="63"/>
    </row>
    <row r="611" spans="2:2" ht="15.75" customHeight="1">
      <c r="B611" s="63"/>
    </row>
    <row r="612" spans="2:2" ht="15.75" customHeight="1">
      <c r="B612" s="63"/>
    </row>
    <row r="613" spans="2:2" ht="15.75" customHeight="1">
      <c r="B613" s="63"/>
    </row>
    <row r="614" spans="2:2" ht="15.75" customHeight="1">
      <c r="B614" s="63"/>
    </row>
    <row r="615" spans="2:2" ht="15.75" customHeight="1">
      <c r="B615" s="63"/>
    </row>
    <row r="616" spans="2:2" ht="15.75" customHeight="1">
      <c r="B616" s="63"/>
    </row>
    <row r="617" spans="2:2" ht="15.75" customHeight="1">
      <c r="B617" s="63"/>
    </row>
    <row r="618" spans="2:2" ht="15.75" customHeight="1">
      <c r="B618" s="63"/>
    </row>
    <row r="619" spans="2:2" ht="15.75" customHeight="1">
      <c r="B619" s="63"/>
    </row>
    <row r="620" spans="2:2" ht="15.75" customHeight="1">
      <c r="B620" s="63"/>
    </row>
    <row r="621" spans="2:2" ht="15.75" customHeight="1">
      <c r="B621" s="63"/>
    </row>
    <row r="622" spans="2:2" ht="15.75" customHeight="1">
      <c r="B622" s="63"/>
    </row>
    <row r="623" spans="2:2" ht="15.75" customHeight="1">
      <c r="B623" s="63"/>
    </row>
    <row r="624" spans="2:2" ht="15.75" customHeight="1">
      <c r="B624" s="63"/>
    </row>
    <row r="625" spans="2:2" ht="15.75" customHeight="1">
      <c r="B625" s="63"/>
    </row>
    <row r="626" spans="2:2" ht="15.75" customHeight="1">
      <c r="B626" s="63"/>
    </row>
    <row r="627" spans="2:2" ht="15.75" customHeight="1">
      <c r="B627" s="63"/>
    </row>
    <row r="628" spans="2:2" ht="15.75" customHeight="1">
      <c r="B628" s="63"/>
    </row>
    <row r="629" spans="2:2" ht="15.75" customHeight="1">
      <c r="B629" s="63"/>
    </row>
    <row r="630" spans="2:2" ht="15.75" customHeight="1">
      <c r="B630" s="63"/>
    </row>
    <row r="631" spans="2:2" ht="15.75" customHeight="1">
      <c r="B631" s="63"/>
    </row>
    <row r="632" spans="2:2" ht="15.75" customHeight="1">
      <c r="B632" s="63"/>
    </row>
    <row r="633" spans="2:2" ht="15.75" customHeight="1">
      <c r="B633" s="63"/>
    </row>
    <row r="634" spans="2:2" ht="15.75" customHeight="1">
      <c r="B634" s="63"/>
    </row>
    <row r="635" spans="2:2" ht="15.75" customHeight="1">
      <c r="B635" s="63"/>
    </row>
    <row r="636" spans="2:2" ht="15.75" customHeight="1">
      <c r="B636" s="63"/>
    </row>
    <row r="637" spans="2:2" ht="15.75" customHeight="1">
      <c r="B637" s="63"/>
    </row>
    <row r="638" spans="2:2" ht="15.75" customHeight="1">
      <c r="B638" s="63"/>
    </row>
    <row r="639" spans="2:2" ht="15.75" customHeight="1">
      <c r="B639" s="63"/>
    </row>
    <row r="640" spans="2:2" ht="15.75" customHeight="1">
      <c r="B640" s="63"/>
    </row>
    <row r="641" spans="2:2" ht="15.75" customHeight="1">
      <c r="B641" s="63"/>
    </row>
    <row r="642" spans="2:2" ht="15.75" customHeight="1">
      <c r="B642" s="63"/>
    </row>
    <row r="643" spans="2:2" ht="15.75" customHeight="1">
      <c r="B643" s="63"/>
    </row>
    <row r="644" spans="2:2" ht="15.75" customHeight="1">
      <c r="B644" s="63"/>
    </row>
    <row r="645" spans="2:2" ht="15.75" customHeight="1">
      <c r="B645" s="63"/>
    </row>
    <row r="646" spans="2:2" ht="15.75" customHeight="1">
      <c r="B646" s="63"/>
    </row>
    <row r="647" spans="2:2" ht="15.75" customHeight="1">
      <c r="B647" s="63"/>
    </row>
    <row r="648" spans="2:2" ht="15.75" customHeight="1">
      <c r="B648" s="63"/>
    </row>
    <row r="649" spans="2:2" ht="15.75" customHeight="1">
      <c r="B649" s="63"/>
    </row>
    <row r="650" spans="2:2" ht="15.75" customHeight="1">
      <c r="B650" s="63"/>
    </row>
    <row r="651" spans="2:2" ht="15.75" customHeight="1">
      <c r="B651" s="63"/>
    </row>
    <row r="652" spans="2:2" ht="15.75" customHeight="1">
      <c r="B652" s="63"/>
    </row>
    <row r="653" spans="2:2" ht="15.75" customHeight="1">
      <c r="B653" s="63"/>
    </row>
    <row r="654" spans="2:2" ht="15.75" customHeight="1">
      <c r="B654" s="63"/>
    </row>
    <row r="655" spans="2:2" ht="15.75" customHeight="1">
      <c r="B655" s="63"/>
    </row>
    <row r="656" spans="2:2" ht="15.75" customHeight="1">
      <c r="B656" s="63"/>
    </row>
    <row r="657" spans="2:2" ht="15.75" customHeight="1">
      <c r="B657" s="63"/>
    </row>
    <row r="658" spans="2:2" ht="15.75" customHeight="1">
      <c r="B658" s="63"/>
    </row>
    <row r="659" spans="2:2" ht="15.75" customHeight="1">
      <c r="B659" s="63"/>
    </row>
    <row r="660" spans="2:2" ht="15.75" customHeight="1">
      <c r="B660" s="63"/>
    </row>
    <row r="661" spans="2:2" ht="15.75" customHeight="1">
      <c r="B661" s="63"/>
    </row>
    <row r="662" spans="2:2" ht="15.75" customHeight="1">
      <c r="B662" s="63"/>
    </row>
    <row r="663" spans="2:2" ht="15.75" customHeight="1">
      <c r="B663" s="63"/>
    </row>
    <row r="664" spans="2:2" ht="15.75" customHeight="1">
      <c r="B664" s="63"/>
    </row>
    <row r="665" spans="2:2" ht="15.75" customHeight="1">
      <c r="B665" s="63"/>
    </row>
    <row r="666" spans="2:2" ht="15.75" customHeight="1">
      <c r="B666" s="63"/>
    </row>
    <row r="667" spans="2:2" ht="15.75" customHeight="1">
      <c r="B667" s="63"/>
    </row>
    <row r="668" spans="2:2" ht="15.75" customHeight="1">
      <c r="B668" s="63"/>
    </row>
    <row r="669" spans="2:2" ht="15.75" customHeight="1">
      <c r="B669" s="63"/>
    </row>
    <row r="670" spans="2:2" ht="15.75" customHeight="1">
      <c r="B670" s="63"/>
    </row>
    <row r="671" spans="2:2" ht="15.75" customHeight="1">
      <c r="B671" s="63"/>
    </row>
    <row r="672" spans="2:2" ht="15.75" customHeight="1">
      <c r="B672" s="63"/>
    </row>
    <row r="673" spans="2:2" ht="15.75" customHeight="1">
      <c r="B673" s="63"/>
    </row>
    <row r="674" spans="2:2" ht="15.75" customHeight="1">
      <c r="B674" s="63"/>
    </row>
    <row r="675" spans="2:2" ht="15.75" customHeight="1">
      <c r="B675" s="63"/>
    </row>
    <row r="676" spans="2:2" ht="15.75" customHeight="1">
      <c r="B676" s="63"/>
    </row>
    <row r="677" spans="2:2" ht="15.75" customHeight="1">
      <c r="B677" s="63"/>
    </row>
    <row r="678" spans="2:2" ht="15.75" customHeight="1">
      <c r="B678" s="63"/>
    </row>
    <row r="679" spans="2:2" ht="15.75" customHeight="1">
      <c r="B679" s="63"/>
    </row>
    <row r="680" spans="2:2" ht="15.75" customHeight="1">
      <c r="B680" s="63"/>
    </row>
    <row r="681" spans="2:2" ht="15.75" customHeight="1">
      <c r="B681" s="63"/>
    </row>
    <row r="682" spans="2:2" ht="15.75" customHeight="1">
      <c r="B682" s="63"/>
    </row>
    <row r="683" spans="2:2" ht="15.75" customHeight="1">
      <c r="B683" s="63"/>
    </row>
    <row r="684" spans="2:2" ht="15.75" customHeight="1">
      <c r="B684" s="63"/>
    </row>
    <row r="685" spans="2:2" ht="15.75" customHeight="1">
      <c r="B685" s="63"/>
    </row>
    <row r="686" spans="2:2" ht="15.75" customHeight="1">
      <c r="B686" s="63"/>
    </row>
    <row r="687" spans="2:2" ht="15.75" customHeight="1">
      <c r="B687" s="63"/>
    </row>
    <row r="688" spans="2:2" ht="15.75" customHeight="1">
      <c r="B688" s="63"/>
    </row>
    <row r="689" spans="2:2" ht="15.75" customHeight="1">
      <c r="B689" s="63"/>
    </row>
    <row r="690" spans="2:2" ht="15.75" customHeight="1">
      <c r="B690" s="63"/>
    </row>
    <row r="691" spans="2:2" ht="15.75" customHeight="1">
      <c r="B691" s="63"/>
    </row>
    <row r="692" spans="2:2" ht="15.75" customHeight="1">
      <c r="B692" s="63"/>
    </row>
    <row r="693" spans="2:2" ht="15.75" customHeight="1">
      <c r="B693" s="63"/>
    </row>
    <row r="694" spans="2:2" ht="15.75" customHeight="1">
      <c r="B694" s="63"/>
    </row>
    <row r="695" spans="2:2" ht="15.75" customHeight="1">
      <c r="B695" s="63"/>
    </row>
    <row r="696" spans="2:2" ht="15.75" customHeight="1">
      <c r="B696" s="63"/>
    </row>
    <row r="697" spans="2:2" ht="15.75" customHeight="1">
      <c r="B697" s="63"/>
    </row>
    <row r="698" spans="2:2" ht="15.75" customHeight="1">
      <c r="B698" s="63"/>
    </row>
    <row r="699" spans="2:2" ht="15.75" customHeight="1">
      <c r="B699" s="63"/>
    </row>
    <row r="700" spans="2:2" ht="15.75" customHeight="1">
      <c r="B700" s="63"/>
    </row>
    <row r="701" spans="2:2" ht="15.75" customHeight="1">
      <c r="B701" s="63"/>
    </row>
    <row r="702" spans="2:2" ht="15.75" customHeight="1">
      <c r="B702" s="63"/>
    </row>
    <row r="703" spans="2:2" ht="15.75" customHeight="1">
      <c r="B703" s="63"/>
    </row>
    <row r="704" spans="2:2" ht="15.75" customHeight="1">
      <c r="B704" s="63"/>
    </row>
    <row r="705" spans="2:2" ht="15.75" customHeight="1">
      <c r="B705" s="63"/>
    </row>
    <row r="706" spans="2:2" ht="15.75" customHeight="1">
      <c r="B706" s="63"/>
    </row>
    <row r="707" spans="2:2" ht="15.75" customHeight="1">
      <c r="B707" s="63"/>
    </row>
    <row r="708" spans="2:2" ht="15.75" customHeight="1">
      <c r="B708" s="63"/>
    </row>
    <row r="709" spans="2:2" ht="15.75" customHeight="1">
      <c r="B709" s="63"/>
    </row>
    <row r="710" spans="2:2" ht="15.75" customHeight="1">
      <c r="B710" s="63"/>
    </row>
    <row r="711" spans="2:2" ht="15.75" customHeight="1">
      <c r="B711" s="63"/>
    </row>
    <row r="712" spans="2:2" ht="15.75" customHeight="1">
      <c r="B712" s="63"/>
    </row>
    <row r="713" spans="2:2" ht="15.75" customHeight="1">
      <c r="B713" s="63"/>
    </row>
    <row r="714" spans="2:2" ht="15.75" customHeight="1">
      <c r="B714" s="63"/>
    </row>
    <row r="715" spans="2:2" ht="15.75" customHeight="1">
      <c r="B715" s="63"/>
    </row>
    <row r="716" spans="2:2" ht="15.75" customHeight="1">
      <c r="B716" s="63"/>
    </row>
    <row r="717" spans="2:2" ht="15.75" customHeight="1">
      <c r="B717" s="63"/>
    </row>
    <row r="718" spans="2:2" ht="15.75" customHeight="1">
      <c r="B718" s="63"/>
    </row>
    <row r="719" spans="2:2" ht="15.75" customHeight="1">
      <c r="B719" s="63"/>
    </row>
    <row r="720" spans="2:2" ht="15.75" customHeight="1">
      <c r="B720" s="63"/>
    </row>
    <row r="721" spans="2:2" ht="15.75" customHeight="1">
      <c r="B721" s="63"/>
    </row>
    <row r="722" spans="2:2" ht="15.75" customHeight="1">
      <c r="B722" s="63"/>
    </row>
    <row r="723" spans="2:2" ht="15.75" customHeight="1">
      <c r="B723" s="63"/>
    </row>
    <row r="724" spans="2:2" ht="15.75" customHeight="1">
      <c r="B724" s="63"/>
    </row>
    <row r="725" spans="2:2" ht="15.75" customHeight="1">
      <c r="B725" s="63"/>
    </row>
    <row r="726" spans="2:2" ht="15.75" customHeight="1">
      <c r="B726" s="63"/>
    </row>
    <row r="727" spans="2:2" ht="15.75" customHeight="1">
      <c r="B727" s="63"/>
    </row>
    <row r="728" spans="2:2" ht="15.75" customHeight="1">
      <c r="B728" s="63"/>
    </row>
    <row r="729" spans="2:2" ht="15.75" customHeight="1">
      <c r="B729" s="63"/>
    </row>
    <row r="730" spans="2:2" ht="15.75" customHeight="1">
      <c r="B730" s="63"/>
    </row>
    <row r="731" spans="2:2" ht="15.75" customHeight="1">
      <c r="B731" s="63"/>
    </row>
    <row r="732" spans="2:2" ht="15.75" customHeight="1">
      <c r="B732" s="63"/>
    </row>
    <row r="733" spans="2:2" ht="15.75" customHeight="1">
      <c r="B733" s="63"/>
    </row>
    <row r="734" spans="2:2" ht="15.75" customHeight="1">
      <c r="B734" s="63"/>
    </row>
    <row r="735" spans="2:2" ht="15.75" customHeight="1">
      <c r="B735" s="63"/>
    </row>
    <row r="736" spans="2:2" ht="15.75" customHeight="1">
      <c r="B736" s="63"/>
    </row>
    <row r="737" spans="2:2" ht="15.75" customHeight="1">
      <c r="B737" s="63"/>
    </row>
    <row r="738" spans="2:2" ht="15.75" customHeight="1">
      <c r="B738" s="63"/>
    </row>
    <row r="739" spans="2:2" ht="15.75" customHeight="1">
      <c r="B739" s="63"/>
    </row>
    <row r="740" spans="2:2" ht="15.75" customHeight="1">
      <c r="B740" s="63"/>
    </row>
    <row r="741" spans="2:2" ht="15.75" customHeight="1">
      <c r="B741" s="63"/>
    </row>
    <row r="742" spans="2:2" ht="15.75" customHeight="1">
      <c r="B742" s="63"/>
    </row>
    <row r="743" spans="2:2" ht="15.75" customHeight="1">
      <c r="B743" s="63"/>
    </row>
    <row r="744" spans="2:2" ht="15.75" customHeight="1">
      <c r="B744" s="63"/>
    </row>
    <row r="745" spans="2:2" ht="15.75" customHeight="1">
      <c r="B745" s="63"/>
    </row>
    <row r="746" spans="2:2" ht="15.75" customHeight="1">
      <c r="B746" s="63"/>
    </row>
    <row r="747" spans="2:2" ht="15.75" customHeight="1">
      <c r="B747" s="63"/>
    </row>
    <row r="748" spans="2:2" ht="15.75" customHeight="1">
      <c r="B748" s="63"/>
    </row>
    <row r="749" spans="2:2" ht="15.75" customHeight="1">
      <c r="B749" s="63"/>
    </row>
    <row r="750" spans="2:2" ht="15.75" customHeight="1">
      <c r="B750" s="63"/>
    </row>
    <row r="751" spans="2:2" ht="15.75" customHeight="1">
      <c r="B751" s="63"/>
    </row>
    <row r="752" spans="2:2" ht="15.75" customHeight="1">
      <c r="B752" s="63"/>
    </row>
    <row r="753" spans="2:2" ht="15.75" customHeight="1">
      <c r="B753" s="63"/>
    </row>
    <row r="754" spans="2:2" ht="15.75" customHeight="1">
      <c r="B754" s="63"/>
    </row>
    <row r="755" spans="2:2" ht="15.75" customHeight="1">
      <c r="B755" s="63"/>
    </row>
    <row r="756" spans="2:2" ht="15.75" customHeight="1">
      <c r="B756" s="63"/>
    </row>
    <row r="757" spans="2:2" ht="15.75" customHeight="1">
      <c r="B757" s="63"/>
    </row>
    <row r="758" spans="2:2" ht="15.75" customHeight="1">
      <c r="B758" s="63"/>
    </row>
    <row r="759" spans="2:2" ht="15.75" customHeight="1">
      <c r="B759" s="63"/>
    </row>
    <row r="760" spans="2:2" ht="15.75" customHeight="1">
      <c r="B760" s="63"/>
    </row>
    <row r="761" spans="2:2" ht="15.75" customHeight="1">
      <c r="B761" s="63"/>
    </row>
    <row r="762" spans="2:2" ht="15.75" customHeight="1">
      <c r="B762" s="63"/>
    </row>
    <row r="763" spans="2:2" ht="15.75" customHeight="1">
      <c r="B763" s="63"/>
    </row>
    <row r="764" spans="2:2" ht="15.75" customHeight="1">
      <c r="B764" s="63"/>
    </row>
    <row r="765" spans="2:2" ht="15.75" customHeight="1">
      <c r="B765" s="63"/>
    </row>
    <row r="766" spans="2:2" ht="15.75" customHeight="1">
      <c r="B766" s="63"/>
    </row>
    <row r="767" spans="2:2" ht="15.75" customHeight="1">
      <c r="B767" s="63"/>
    </row>
    <row r="768" spans="2:2" ht="15.75" customHeight="1">
      <c r="B768" s="63"/>
    </row>
    <row r="769" spans="2:2" ht="15.75" customHeight="1">
      <c r="B769" s="63"/>
    </row>
    <row r="770" spans="2:2" ht="15.75" customHeight="1">
      <c r="B770" s="63"/>
    </row>
    <row r="771" spans="2:2" ht="15.75" customHeight="1">
      <c r="B771" s="63"/>
    </row>
    <row r="772" spans="2:2" ht="15.75" customHeight="1">
      <c r="B772" s="63"/>
    </row>
    <row r="773" spans="2:2" ht="15.75" customHeight="1">
      <c r="B773" s="63"/>
    </row>
    <row r="774" spans="2:2" ht="15.75" customHeight="1">
      <c r="B774" s="63"/>
    </row>
    <row r="775" spans="2:2" ht="15.75" customHeight="1">
      <c r="B775" s="63"/>
    </row>
    <row r="776" spans="2:2" ht="15.75" customHeight="1">
      <c r="B776" s="63"/>
    </row>
    <row r="777" spans="2:2" ht="15.75" customHeight="1">
      <c r="B777" s="63"/>
    </row>
    <row r="778" spans="2:2" ht="15.75" customHeight="1">
      <c r="B778" s="63"/>
    </row>
    <row r="779" spans="2:2" ht="15.75" customHeight="1">
      <c r="B779" s="63"/>
    </row>
    <row r="780" spans="2:2" ht="15.75" customHeight="1">
      <c r="B780" s="63"/>
    </row>
    <row r="781" spans="2:2" ht="15.75" customHeight="1">
      <c r="B781" s="63"/>
    </row>
    <row r="782" spans="2:2" ht="15.75" customHeight="1">
      <c r="B782" s="63"/>
    </row>
    <row r="783" spans="2:2" ht="15.75" customHeight="1">
      <c r="B783" s="63"/>
    </row>
    <row r="784" spans="2:2" ht="15.75" customHeight="1">
      <c r="B784" s="63"/>
    </row>
    <row r="785" spans="2:2" ht="15.75" customHeight="1">
      <c r="B785" s="63"/>
    </row>
    <row r="786" spans="2:2" ht="15.75" customHeight="1">
      <c r="B786" s="63"/>
    </row>
    <row r="787" spans="2:2" ht="15.75" customHeight="1">
      <c r="B787" s="63"/>
    </row>
    <row r="788" spans="2:2" ht="15.75" customHeight="1">
      <c r="B788" s="63"/>
    </row>
    <row r="789" spans="2:2" ht="15.75" customHeight="1">
      <c r="B789" s="63"/>
    </row>
    <row r="790" spans="2:2" ht="15.75" customHeight="1">
      <c r="B790" s="63"/>
    </row>
    <row r="791" spans="2:2" ht="15.75" customHeight="1">
      <c r="B791" s="63"/>
    </row>
    <row r="792" spans="2:2" ht="15.75" customHeight="1">
      <c r="B792" s="63"/>
    </row>
    <row r="793" spans="2:2" ht="15.75" customHeight="1">
      <c r="B793" s="63"/>
    </row>
    <row r="794" spans="2:2" ht="15.75" customHeight="1">
      <c r="B794" s="63"/>
    </row>
    <row r="795" spans="2:2" ht="15.75" customHeight="1">
      <c r="B795" s="63"/>
    </row>
    <row r="796" spans="2:2" ht="15.75" customHeight="1">
      <c r="B796" s="63"/>
    </row>
    <row r="797" spans="2:2" ht="15.75" customHeight="1">
      <c r="B797" s="63"/>
    </row>
    <row r="798" spans="2:2" ht="15.75" customHeight="1">
      <c r="B798" s="63"/>
    </row>
    <row r="799" spans="2:2" ht="15.75" customHeight="1">
      <c r="B799" s="63"/>
    </row>
    <row r="800" spans="2:2" ht="15.75" customHeight="1">
      <c r="B800" s="63"/>
    </row>
    <row r="801" spans="2:2" ht="15.75" customHeight="1">
      <c r="B801" s="63"/>
    </row>
    <row r="802" spans="2:2" ht="15.75" customHeight="1">
      <c r="B802" s="63"/>
    </row>
    <row r="803" spans="2:2" ht="15.75" customHeight="1">
      <c r="B803" s="63"/>
    </row>
    <row r="804" spans="2:2" ht="15.75" customHeight="1">
      <c r="B804" s="63"/>
    </row>
    <row r="805" spans="2:2" ht="15.75" customHeight="1">
      <c r="B805" s="63"/>
    </row>
    <row r="806" spans="2:2" ht="15.75" customHeight="1">
      <c r="B806" s="63"/>
    </row>
    <row r="807" spans="2:2" ht="15.75" customHeight="1">
      <c r="B807" s="63"/>
    </row>
    <row r="808" spans="2:2" ht="15.75" customHeight="1">
      <c r="B808" s="63"/>
    </row>
    <row r="809" spans="2:2" ht="15.75" customHeight="1">
      <c r="B809" s="63"/>
    </row>
    <row r="810" spans="2:2" ht="15.75" customHeight="1">
      <c r="B810" s="63"/>
    </row>
    <row r="811" spans="2:2" ht="15.75" customHeight="1">
      <c r="B811" s="63"/>
    </row>
    <row r="812" spans="2:2" ht="15.75" customHeight="1">
      <c r="B812" s="63"/>
    </row>
    <row r="813" spans="2:2" ht="15.75" customHeight="1">
      <c r="B813" s="63"/>
    </row>
    <row r="814" spans="2:2" ht="15.75" customHeight="1">
      <c r="B814" s="63"/>
    </row>
    <row r="815" spans="2:2" ht="15.75" customHeight="1">
      <c r="B815" s="63"/>
    </row>
    <row r="816" spans="2:2" ht="15.75" customHeight="1">
      <c r="B816" s="63"/>
    </row>
    <row r="817" spans="2:2" ht="15.75" customHeight="1">
      <c r="B817" s="63"/>
    </row>
    <row r="818" spans="2:2" ht="15.75" customHeight="1">
      <c r="B818" s="63"/>
    </row>
    <row r="819" spans="2:2" ht="15.75" customHeight="1">
      <c r="B819" s="63"/>
    </row>
    <row r="820" spans="2:2" ht="15.75" customHeight="1">
      <c r="B820" s="63"/>
    </row>
    <row r="821" spans="2:2" ht="15.75" customHeight="1">
      <c r="B821" s="63"/>
    </row>
    <row r="822" spans="2:2" ht="15.75" customHeight="1">
      <c r="B822" s="63"/>
    </row>
    <row r="823" spans="2:2" ht="15.75" customHeight="1">
      <c r="B823" s="63"/>
    </row>
    <row r="824" spans="2:2" ht="15.75" customHeight="1">
      <c r="B824" s="63"/>
    </row>
    <row r="825" spans="2:2" ht="15.75" customHeight="1">
      <c r="B825" s="63"/>
    </row>
    <row r="826" spans="2:2" ht="15.75" customHeight="1">
      <c r="B826" s="63"/>
    </row>
    <row r="827" spans="2:2" ht="15.75" customHeight="1">
      <c r="B827" s="63"/>
    </row>
    <row r="828" spans="2:2" ht="15.75" customHeight="1">
      <c r="B828" s="63"/>
    </row>
    <row r="829" spans="2:2" ht="15.75" customHeight="1">
      <c r="B829" s="63"/>
    </row>
    <row r="830" spans="2:2" ht="15.75" customHeight="1">
      <c r="B830" s="63"/>
    </row>
    <row r="831" spans="2:2" ht="15.75" customHeight="1">
      <c r="B831" s="63"/>
    </row>
    <row r="832" spans="2:2" ht="15.75" customHeight="1">
      <c r="B832" s="63"/>
    </row>
    <row r="833" spans="2:2" ht="15.75" customHeight="1">
      <c r="B833" s="63"/>
    </row>
    <row r="834" spans="2:2" ht="15.75" customHeight="1">
      <c r="B834" s="63"/>
    </row>
    <row r="835" spans="2:2" ht="15.75" customHeight="1">
      <c r="B835" s="63"/>
    </row>
    <row r="836" spans="2:2" ht="15.75" customHeight="1">
      <c r="B836" s="63"/>
    </row>
    <row r="837" spans="2:2" ht="15.75" customHeight="1">
      <c r="B837" s="63"/>
    </row>
    <row r="838" spans="2:2" ht="15.75" customHeight="1">
      <c r="B838" s="63"/>
    </row>
    <row r="839" spans="2:2" ht="15.75" customHeight="1">
      <c r="B839" s="63"/>
    </row>
    <row r="840" spans="2:2" ht="15.75" customHeight="1">
      <c r="B840" s="63"/>
    </row>
    <row r="841" spans="2:2" ht="15.75" customHeight="1">
      <c r="B841" s="63"/>
    </row>
    <row r="842" spans="2:2" ht="15.75" customHeight="1">
      <c r="B842" s="63"/>
    </row>
    <row r="843" spans="2:2" ht="15.75" customHeight="1">
      <c r="B843" s="63"/>
    </row>
    <row r="844" spans="2:2" ht="15.75" customHeight="1">
      <c r="B844" s="63"/>
    </row>
    <row r="845" spans="2:2" ht="15.75" customHeight="1">
      <c r="B845" s="63"/>
    </row>
    <row r="846" spans="2:2" ht="15.75" customHeight="1">
      <c r="B846" s="63"/>
    </row>
    <row r="847" spans="2:2" ht="15.75" customHeight="1">
      <c r="B847" s="63"/>
    </row>
  </sheetData>
  <sortState ref="C8:Q21">
    <sortCondition ref="C8"/>
  </sortState>
  <mergeCells count="6">
    <mergeCell ref="D2:I2"/>
    <mergeCell ref="J3:N3"/>
    <mergeCell ref="D4:I4"/>
    <mergeCell ref="J4:O4"/>
    <mergeCell ref="B6:J6"/>
    <mergeCell ref="K6:O6"/>
  </mergeCells>
  <pageMargins left="0.511811024" right="0.511811024" top="0.78740157499999996" bottom="0.78740157499999996" header="0" footer="0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71"/>
  <sheetViews>
    <sheetView topLeftCell="B1" zoomScale="70" zoomScaleNormal="70" workbookViewId="0">
      <selection activeCell="M13" sqref="M13"/>
    </sheetView>
  </sheetViews>
  <sheetFormatPr defaultColWidth="14.42578125" defaultRowHeight="15" customHeight="1"/>
  <cols>
    <col min="1" max="1" width="13.28515625" style="62" customWidth="1"/>
    <col min="2" max="2" width="4.5703125" style="62" customWidth="1"/>
    <col min="3" max="3" width="42.85546875" style="62" customWidth="1"/>
    <col min="4" max="4" width="16" style="62" customWidth="1"/>
    <col min="5" max="5" width="15.42578125" style="62" customWidth="1"/>
    <col min="6" max="6" width="18.28515625" style="62" customWidth="1"/>
    <col min="7" max="7" width="13.85546875" style="62" customWidth="1"/>
    <col min="8" max="8" width="21.85546875" style="62" customWidth="1"/>
    <col min="9" max="9" width="12.140625" style="62" customWidth="1"/>
    <col min="10" max="10" width="15.5703125" style="62" customWidth="1"/>
    <col min="11" max="11" width="11.5703125" style="62" customWidth="1"/>
    <col min="12" max="12" width="11.5703125" style="228" customWidth="1"/>
    <col min="13" max="13" width="18.42578125" style="62" customWidth="1"/>
    <col min="14" max="14" width="13.7109375" style="62" customWidth="1"/>
    <col min="15" max="15" width="14" style="62" customWidth="1"/>
    <col min="16" max="16" width="9.85546875" style="62" customWidth="1"/>
    <col min="17" max="17" width="14" style="62" customWidth="1"/>
    <col min="18" max="18" width="13" style="62" customWidth="1"/>
    <col min="19" max="27" width="8.7109375" style="62" customWidth="1"/>
    <col min="28" max="16384" width="14.42578125" style="62"/>
  </cols>
  <sheetData>
    <row r="1" spans="1:19" ht="18">
      <c r="D1" s="342"/>
      <c r="E1" s="343"/>
      <c r="F1" s="343"/>
      <c r="G1" s="343"/>
      <c r="H1" s="343"/>
      <c r="I1" s="343"/>
      <c r="J1" s="63"/>
      <c r="N1" s="69"/>
    </row>
    <row r="2" spans="1:19" ht="18">
      <c r="C2" s="96"/>
      <c r="D2" s="63"/>
      <c r="E2" s="63"/>
      <c r="F2" s="63"/>
      <c r="G2" s="63"/>
      <c r="H2" s="63"/>
      <c r="I2" s="63"/>
      <c r="J2" s="63"/>
      <c r="N2" s="344" t="s">
        <v>80</v>
      </c>
      <c r="O2" s="345"/>
      <c r="P2" s="345"/>
      <c r="Q2" s="347"/>
    </row>
    <row r="3" spans="1:19" ht="18">
      <c r="C3" s="96"/>
      <c r="D3" s="63"/>
      <c r="E3" s="70"/>
      <c r="F3" s="63"/>
      <c r="G3" s="63"/>
      <c r="H3" s="63"/>
      <c r="I3" s="63"/>
      <c r="J3" s="63"/>
      <c r="N3" s="69"/>
    </row>
    <row r="4" spans="1:19" ht="18">
      <c r="C4" s="96"/>
      <c r="D4" s="63"/>
      <c r="E4" s="63"/>
      <c r="F4" s="63"/>
      <c r="G4" s="63"/>
      <c r="H4" s="63"/>
      <c r="I4" s="63"/>
      <c r="J4" s="63"/>
      <c r="N4" s="69"/>
      <c r="O4" s="64"/>
    </row>
    <row r="5" spans="1:19" ht="18">
      <c r="B5" s="60"/>
      <c r="C5" s="230"/>
      <c r="D5" s="71"/>
      <c r="E5" s="71"/>
      <c r="F5" s="356" t="s">
        <v>13</v>
      </c>
      <c r="G5" s="352"/>
      <c r="H5" s="72"/>
      <c r="I5" s="72"/>
      <c r="J5" s="72"/>
      <c r="K5" s="357" t="s">
        <v>14</v>
      </c>
      <c r="L5" s="358"/>
      <c r="M5" s="351"/>
      <c r="N5" s="351"/>
      <c r="O5" s="352"/>
      <c r="P5" s="177" t="s">
        <v>15</v>
      </c>
      <c r="Q5" s="203" t="s">
        <v>16</v>
      </c>
      <c r="R5" s="178"/>
    </row>
    <row r="6" spans="1:19" ht="18">
      <c r="A6" s="96"/>
      <c r="B6" s="124" t="s">
        <v>1</v>
      </c>
      <c r="C6" s="231" t="s">
        <v>17</v>
      </c>
      <c r="D6" s="73" t="s">
        <v>34</v>
      </c>
      <c r="E6" s="43" t="s">
        <v>19</v>
      </c>
      <c r="F6" s="43" t="s">
        <v>35</v>
      </c>
      <c r="G6" s="43" t="s">
        <v>21</v>
      </c>
      <c r="H6" s="44" t="s">
        <v>36</v>
      </c>
      <c r="I6" s="44" t="s">
        <v>45</v>
      </c>
      <c r="J6" s="43" t="s">
        <v>24</v>
      </c>
      <c r="K6" s="43" t="s">
        <v>25</v>
      </c>
      <c r="L6" s="315" t="s">
        <v>82</v>
      </c>
      <c r="M6" s="43" t="s">
        <v>81</v>
      </c>
      <c r="N6" s="74" t="s">
        <v>37</v>
      </c>
      <c r="O6" s="75" t="s">
        <v>27</v>
      </c>
      <c r="P6" s="67" t="s">
        <v>28</v>
      </c>
      <c r="Q6" s="204" t="s">
        <v>29</v>
      </c>
      <c r="R6" s="178"/>
    </row>
    <row r="7" spans="1:19" ht="18">
      <c r="A7" s="96"/>
      <c r="B7" s="99">
        <v>1</v>
      </c>
      <c r="C7" s="140" t="s">
        <v>48</v>
      </c>
      <c r="D7" s="81">
        <v>45128</v>
      </c>
      <c r="E7" s="82">
        <v>45118</v>
      </c>
      <c r="F7" s="76">
        <v>2123.65</v>
      </c>
      <c r="G7" s="229"/>
      <c r="H7" s="308">
        <v>300</v>
      </c>
      <c r="I7" s="122"/>
      <c r="J7" s="77">
        <f t="shared" ref="J7:J18" si="0">SUM(F7:I7)</f>
        <v>2423.65</v>
      </c>
      <c r="K7" s="78"/>
      <c r="L7" s="78"/>
      <c r="M7" s="78"/>
      <c r="N7" s="79">
        <f>DESCONTOS!H19</f>
        <v>0</v>
      </c>
      <c r="O7" s="197">
        <f t="shared" ref="O7:O18" si="1">SUM(K7:N7)</f>
        <v>0</v>
      </c>
      <c r="P7" s="199"/>
      <c r="Q7" s="205">
        <f t="shared" ref="Q7:Q18" si="2">J7-O7+P7</f>
        <v>2423.65</v>
      </c>
      <c r="R7" s="179" t="s">
        <v>79</v>
      </c>
    </row>
    <row r="8" spans="1:19" ht="18">
      <c r="A8" s="96"/>
      <c r="B8" s="99">
        <v>2</v>
      </c>
      <c r="C8" s="321" t="s">
        <v>66</v>
      </c>
      <c r="D8" s="81"/>
      <c r="E8" s="257">
        <v>46034</v>
      </c>
      <c r="F8" s="76">
        <v>1621</v>
      </c>
      <c r="G8" s="288"/>
      <c r="H8" s="322">
        <v>121.57</v>
      </c>
      <c r="I8" s="322">
        <v>48.63</v>
      </c>
      <c r="J8" s="289">
        <f t="shared" si="0"/>
        <v>1791.2</v>
      </c>
      <c r="K8" s="259">
        <v>121.57</v>
      </c>
      <c r="L8" s="259"/>
      <c r="M8" s="259">
        <v>48.63</v>
      </c>
      <c r="N8" s="79">
        <f>DESCONTOS!H20</f>
        <v>0</v>
      </c>
      <c r="O8" s="260">
        <f t="shared" si="1"/>
        <v>170.2</v>
      </c>
      <c r="P8" s="261"/>
      <c r="Q8" s="271">
        <f t="shared" si="2"/>
        <v>1621</v>
      </c>
      <c r="R8" s="179"/>
    </row>
    <row r="9" spans="1:19" ht="18">
      <c r="A9" s="96"/>
      <c r="B9" s="99">
        <v>3</v>
      </c>
      <c r="C9" s="98" t="s">
        <v>60</v>
      </c>
      <c r="D9" s="101"/>
      <c r="E9" s="102"/>
      <c r="F9" s="103">
        <v>1000</v>
      </c>
      <c r="G9" s="312">
        <v>40</v>
      </c>
      <c r="H9" s="115"/>
      <c r="I9" s="104"/>
      <c r="J9" s="105">
        <f t="shared" si="0"/>
        <v>1040</v>
      </c>
      <c r="K9" s="290"/>
      <c r="L9" s="106"/>
      <c r="M9" s="290"/>
      <c r="N9" s="79">
        <f>DESCONTOS!H21</f>
        <v>56.5</v>
      </c>
      <c r="O9" s="198">
        <f t="shared" si="1"/>
        <v>56.5</v>
      </c>
      <c r="P9" s="200"/>
      <c r="Q9" s="187">
        <f t="shared" si="2"/>
        <v>983.5</v>
      </c>
      <c r="R9" s="179"/>
    </row>
    <row r="10" spans="1:19" ht="18">
      <c r="A10" s="96"/>
      <c r="B10" s="99">
        <v>4</v>
      </c>
      <c r="C10" s="324" t="s">
        <v>39</v>
      </c>
      <c r="D10" s="246">
        <v>41271</v>
      </c>
      <c r="E10" s="269">
        <v>36951</v>
      </c>
      <c r="F10" s="258">
        <v>1737</v>
      </c>
      <c r="G10" s="227">
        <v>142.86000000000001</v>
      </c>
      <c r="H10" s="253">
        <v>739.41</v>
      </c>
      <c r="I10" s="227">
        <v>0</v>
      </c>
      <c r="J10" s="265">
        <f t="shared" si="0"/>
        <v>2619.27</v>
      </c>
      <c r="K10" s="260">
        <v>144.76</v>
      </c>
      <c r="L10" s="260"/>
      <c r="M10" s="260">
        <v>52.11</v>
      </c>
      <c r="N10" s="79">
        <f>DESCONTOS!H22</f>
        <v>0</v>
      </c>
      <c r="O10" s="260">
        <f t="shared" si="1"/>
        <v>196.87</v>
      </c>
      <c r="P10" s="270"/>
      <c r="Q10" s="259">
        <f t="shared" si="2"/>
        <v>2422.4</v>
      </c>
      <c r="R10" s="179"/>
      <c r="S10" s="223"/>
    </row>
    <row r="11" spans="1:19" ht="18">
      <c r="A11" s="96"/>
      <c r="B11" s="99">
        <v>5</v>
      </c>
      <c r="C11" s="324" t="s">
        <v>40</v>
      </c>
      <c r="D11" s="246">
        <v>41113</v>
      </c>
      <c r="E11" s="269">
        <v>34740</v>
      </c>
      <c r="F11" s="258">
        <v>1737</v>
      </c>
      <c r="G11" s="227">
        <v>134.72999999999999</v>
      </c>
      <c r="H11" s="227">
        <v>0</v>
      </c>
      <c r="I11" s="227">
        <v>292.92</v>
      </c>
      <c r="J11" s="265">
        <f t="shared" si="0"/>
        <v>2164.65</v>
      </c>
      <c r="K11" s="260">
        <v>144.13</v>
      </c>
      <c r="L11" s="316">
        <v>491.98</v>
      </c>
      <c r="M11" s="260">
        <v>52.11</v>
      </c>
      <c r="N11" s="79">
        <f>DESCONTOS!H23</f>
        <v>0</v>
      </c>
      <c r="O11" s="260">
        <f t="shared" si="1"/>
        <v>688.22</v>
      </c>
      <c r="P11" s="270"/>
      <c r="Q11" s="259">
        <f t="shared" si="2"/>
        <v>1476.43</v>
      </c>
      <c r="R11" s="179"/>
      <c r="S11" s="212"/>
    </row>
    <row r="12" spans="1:19" ht="18">
      <c r="A12" s="96"/>
      <c r="B12" s="99">
        <v>6</v>
      </c>
      <c r="C12" s="324" t="s">
        <v>62</v>
      </c>
      <c r="D12" s="246">
        <v>45202</v>
      </c>
      <c r="E12" s="269">
        <v>45870</v>
      </c>
      <c r="F12" s="258">
        <v>1737</v>
      </c>
      <c r="G12" s="227">
        <v>105.5</v>
      </c>
      <c r="H12" s="253"/>
      <c r="I12" s="227"/>
      <c r="J12" s="265">
        <f t="shared" si="0"/>
        <v>1842.5</v>
      </c>
      <c r="K12" s="260">
        <v>141.5</v>
      </c>
      <c r="L12" s="260"/>
      <c r="M12" s="260">
        <v>52.11</v>
      </c>
      <c r="N12" s="79">
        <f>DESCONTOS!H24</f>
        <v>0</v>
      </c>
      <c r="O12" s="260">
        <f t="shared" si="1"/>
        <v>193.61</v>
      </c>
      <c r="P12" s="270"/>
      <c r="Q12" s="259">
        <f t="shared" si="2"/>
        <v>1648.8899999999999</v>
      </c>
      <c r="R12" s="179"/>
    </row>
    <row r="13" spans="1:19" ht="18">
      <c r="A13" s="96"/>
      <c r="B13" s="99">
        <v>7</v>
      </c>
      <c r="C13" s="98" t="s">
        <v>56</v>
      </c>
      <c r="D13" s="86"/>
      <c r="E13" s="83">
        <v>45679</v>
      </c>
      <c r="F13" s="84">
        <v>1000</v>
      </c>
      <c r="G13" s="312">
        <v>80</v>
      </c>
      <c r="H13" s="54"/>
      <c r="I13" s="84"/>
      <c r="J13" s="105">
        <f t="shared" si="0"/>
        <v>1080</v>
      </c>
      <c r="K13" s="50"/>
      <c r="L13" s="85"/>
      <c r="M13" s="291"/>
      <c r="N13" s="79">
        <f>DESCONTOS!H25</f>
        <v>604.5</v>
      </c>
      <c r="O13" s="80">
        <f t="shared" si="1"/>
        <v>604.5</v>
      </c>
      <c r="P13" s="201"/>
      <c r="Q13" s="205">
        <f t="shared" si="2"/>
        <v>475.5</v>
      </c>
      <c r="R13" s="179"/>
      <c r="S13" s="96"/>
    </row>
    <row r="14" spans="1:19" ht="18">
      <c r="A14" s="96"/>
      <c r="B14" s="99">
        <v>8</v>
      </c>
      <c r="C14" s="98" t="s">
        <v>68</v>
      </c>
      <c r="D14" s="246"/>
      <c r="E14" s="269">
        <v>46055</v>
      </c>
      <c r="F14" s="258">
        <v>1000</v>
      </c>
      <c r="G14" s="104"/>
      <c r="H14" s="104"/>
      <c r="I14" s="227"/>
      <c r="J14" s="265">
        <f t="shared" si="0"/>
        <v>1000</v>
      </c>
      <c r="K14" s="242"/>
      <c r="L14" s="260"/>
      <c r="M14" s="290"/>
      <c r="N14" s="309">
        <f>DESCONTOS!H26</f>
        <v>50.5</v>
      </c>
      <c r="O14" s="260">
        <f t="shared" si="1"/>
        <v>50.5</v>
      </c>
      <c r="P14" s="270"/>
      <c r="Q14" s="259">
        <f t="shared" si="2"/>
        <v>949.5</v>
      </c>
      <c r="R14" s="179"/>
    </row>
    <row r="15" spans="1:19" ht="18">
      <c r="A15" s="96"/>
      <c r="B15" s="99">
        <v>9</v>
      </c>
      <c r="C15" s="235" t="s">
        <v>72</v>
      </c>
      <c r="D15" s="262"/>
      <c r="E15" s="263">
        <v>46128</v>
      </c>
      <c r="F15" s="258">
        <v>1000</v>
      </c>
      <c r="G15" s="115"/>
      <c r="H15" s="298"/>
      <c r="I15" s="264"/>
      <c r="J15" s="265">
        <f t="shared" si="0"/>
        <v>1000</v>
      </c>
      <c r="K15" s="242"/>
      <c r="L15" s="260"/>
      <c r="M15" s="267"/>
      <c r="N15" s="79">
        <f>DESCONTOS!H27</f>
        <v>0</v>
      </c>
      <c r="O15" s="260">
        <f t="shared" si="1"/>
        <v>0</v>
      </c>
      <c r="P15" s="268"/>
      <c r="Q15" s="259">
        <f t="shared" si="2"/>
        <v>1000</v>
      </c>
      <c r="R15" s="179" t="s">
        <v>73</v>
      </c>
    </row>
    <row r="16" spans="1:19" ht="18">
      <c r="A16" s="96"/>
      <c r="B16" s="99">
        <v>10</v>
      </c>
      <c r="C16" s="235"/>
      <c r="D16" s="246"/>
      <c r="E16" s="269"/>
      <c r="F16" s="258"/>
      <c r="G16" s="227"/>
      <c r="H16" s="227"/>
      <c r="I16" s="227"/>
      <c r="J16" s="265">
        <f t="shared" si="0"/>
        <v>0</v>
      </c>
      <c r="K16" s="242"/>
      <c r="L16" s="260"/>
      <c r="M16" s="266"/>
      <c r="N16" s="79">
        <f>DESCONTOS!H28</f>
        <v>0</v>
      </c>
      <c r="O16" s="260">
        <f t="shared" si="1"/>
        <v>0</v>
      </c>
      <c r="P16" s="270"/>
      <c r="Q16" s="259">
        <f t="shared" si="2"/>
        <v>0</v>
      </c>
      <c r="R16" s="179"/>
    </row>
    <row r="17" spans="1:18" s="125" customFormat="1" ht="18">
      <c r="A17" s="96"/>
      <c r="B17" s="99">
        <v>11</v>
      </c>
      <c r="C17" s="235"/>
      <c r="D17" s="246"/>
      <c r="E17" s="269"/>
      <c r="F17" s="258"/>
      <c r="G17" s="227"/>
      <c r="H17" s="253"/>
      <c r="I17" s="227">
        <v>0</v>
      </c>
      <c r="J17" s="265">
        <f t="shared" si="0"/>
        <v>0</v>
      </c>
      <c r="K17" s="242"/>
      <c r="L17" s="260"/>
      <c r="M17" s="260"/>
      <c r="N17" s="79">
        <f>DESCONTOS!H29</f>
        <v>0</v>
      </c>
      <c r="O17" s="260">
        <f t="shared" si="1"/>
        <v>0</v>
      </c>
      <c r="P17" s="270"/>
      <c r="Q17" s="259">
        <f t="shared" si="2"/>
        <v>0</v>
      </c>
      <c r="R17" s="179"/>
    </row>
    <row r="18" spans="1:18" s="130" customFormat="1" ht="18">
      <c r="A18" s="96"/>
      <c r="B18" s="99">
        <v>12</v>
      </c>
      <c r="C18" s="235"/>
      <c r="D18" s="246"/>
      <c r="E18" s="269"/>
      <c r="F18" s="258"/>
      <c r="G18" s="227"/>
      <c r="H18" s="227"/>
      <c r="I18" s="227"/>
      <c r="J18" s="265">
        <f t="shared" si="0"/>
        <v>0</v>
      </c>
      <c r="K18" s="242"/>
      <c r="L18" s="260"/>
      <c r="M18" s="260"/>
      <c r="N18" s="79">
        <f>DESCONTOS!H30</f>
        <v>0</v>
      </c>
      <c r="O18" s="260">
        <f t="shared" si="1"/>
        <v>0</v>
      </c>
      <c r="P18" s="270"/>
      <c r="Q18" s="259">
        <f t="shared" si="2"/>
        <v>0</v>
      </c>
      <c r="R18" s="179"/>
    </row>
    <row r="19" spans="1:18" ht="18">
      <c r="B19" s="98"/>
      <c r="C19" s="87" t="s">
        <v>33</v>
      </c>
      <c r="D19" s="88"/>
      <c r="E19" s="89"/>
      <c r="F19" s="90">
        <f>SUM(F7:F18)</f>
        <v>12955.65</v>
      </c>
      <c r="G19" s="90">
        <f>SUM(G7:G15)</f>
        <v>503.09000000000003</v>
      </c>
      <c r="H19" s="90">
        <f>SUM(H7:H18)</f>
        <v>1160.98</v>
      </c>
      <c r="I19" s="90">
        <f>SUM(I7:I13)</f>
        <v>341.55</v>
      </c>
      <c r="J19" s="90">
        <f>SUM(J7:J18)</f>
        <v>14961.27</v>
      </c>
      <c r="K19" s="91">
        <f>SUM(K7:K18)</f>
        <v>551.96</v>
      </c>
      <c r="L19" s="91"/>
      <c r="M19" s="91">
        <f t="shared" ref="M19:P19" si="3">SUM(M7:M13)</f>
        <v>204.96000000000004</v>
      </c>
      <c r="N19" s="92">
        <f t="shared" si="3"/>
        <v>661</v>
      </c>
      <c r="O19" s="91">
        <f>SUM(O7:O18)</f>
        <v>1960.4</v>
      </c>
      <c r="P19" s="91">
        <f t="shared" si="3"/>
        <v>0</v>
      </c>
      <c r="Q19" s="202">
        <f>SUM(Q7:Q18)</f>
        <v>13000.869999999999</v>
      </c>
      <c r="R19" s="178"/>
    </row>
    <row r="20" spans="1:18" ht="18">
      <c r="D20" s="63"/>
      <c r="E20" s="63"/>
      <c r="F20" s="63"/>
      <c r="G20" s="63"/>
      <c r="H20" s="63"/>
      <c r="I20" s="63"/>
      <c r="J20" s="63"/>
      <c r="N20" s="69"/>
    </row>
    <row r="21" spans="1:18" s="130" customFormat="1" ht="18">
      <c r="C21" s="144"/>
      <c r="D21" s="188"/>
      <c r="E21" s="188"/>
      <c r="F21" s="188"/>
      <c r="G21" s="188"/>
      <c r="H21" s="63"/>
      <c r="I21" s="63"/>
      <c r="J21" s="63"/>
      <c r="L21" s="228"/>
      <c r="N21" s="69"/>
    </row>
    <row r="22" spans="1:18" s="130" customFormat="1" ht="18">
      <c r="C22" s="355"/>
      <c r="D22" s="355"/>
      <c r="E22" s="355"/>
      <c r="F22" s="189"/>
      <c r="G22" s="190"/>
      <c r="H22" s="63"/>
      <c r="I22" s="63"/>
      <c r="J22" s="63"/>
      <c r="L22" s="228"/>
      <c r="N22" s="69"/>
    </row>
    <row r="23" spans="1:18" s="100" customFormat="1" ht="18">
      <c r="C23" s="355"/>
      <c r="D23" s="355"/>
      <c r="E23" s="355"/>
      <c r="F23" s="189"/>
      <c r="G23" s="189"/>
      <c r="I23" s="63"/>
      <c r="J23" s="63"/>
      <c r="L23" s="228"/>
      <c r="N23" s="69"/>
      <c r="R23" s="180"/>
    </row>
    <row r="24" spans="1:18" ht="15.75" customHeight="1">
      <c r="C24" s="144"/>
      <c r="D24" s="144"/>
      <c r="E24" s="302"/>
      <c r="F24" s="144"/>
      <c r="G24" s="188"/>
      <c r="H24" s="63"/>
      <c r="I24" s="63"/>
      <c r="J24" s="63"/>
      <c r="N24" s="69"/>
    </row>
    <row r="25" spans="1:18" ht="15.75" customHeight="1">
      <c r="E25" s="303"/>
      <c r="H25" s="63"/>
      <c r="I25" s="63"/>
      <c r="J25" s="63"/>
      <c r="N25" s="69"/>
    </row>
    <row r="26" spans="1:18" ht="15.75" customHeight="1">
      <c r="C26" s="299"/>
      <c r="E26" s="303"/>
      <c r="H26" s="63"/>
      <c r="I26" s="63"/>
      <c r="J26" s="63"/>
      <c r="N26" s="69"/>
    </row>
    <row r="27" spans="1:18" ht="15.75" customHeight="1">
      <c r="H27" s="63"/>
      <c r="I27" s="63"/>
      <c r="J27" s="63"/>
      <c r="N27" s="69"/>
    </row>
    <row r="28" spans="1:18" ht="15.75" customHeight="1">
      <c r="H28" s="63"/>
      <c r="I28" s="63"/>
      <c r="J28" s="63"/>
      <c r="N28" s="69"/>
    </row>
    <row r="29" spans="1:18" ht="15.75" customHeight="1">
      <c r="C29" s="126"/>
      <c r="D29" s="126"/>
      <c r="E29" s="63"/>
      <c r="F29" s="63"/>
      <c r="G29" s="63"/>
      <c r="H29" s="63"/>
      <c r="I29" s="63"/>
      <c r="J29" s="63"/>
      <c r="N29" s="69"/>
    </row>
    <row r="30" spans="1:18" ht="15.75" customHeight="1">
      <c r="C30" s="127"/>
      <c r="D30" s="128"/>
      <c r="E30" s="128"/>
      <c r="F30" s="128"/>
      <c r="G30" s="63"/>
      <c r="H30" s="63"/>
      <c r="I30" s="63"/>
      <c r="J30" s="63"/>
      <c r="N30" s="69"/>
    </row>
    <row r="31" spans="1:18" ht="15.75" customHeight="1">
      <c r="C31" s="127"/>
      <c r="D31" s="127"/>
      <c r="E31" s="127"/>
      <c r="F31" s="127"/>
      <c r="G31" s="129"/>
      <c r="H31" s="63"/>
      <c r="I31" s="63"/>
      <c r="J31" s="63"/>
      <c r="N31" s="69"/>
    </row>
    <row r="32" spans="1:18" ht="15.75" customHeight="1">
      <c r="C32" s="127"/>
      <c r="D32" s="128"/>
      <c r="E32" s="128"/>
      <c r="F32" s="128"/>
      <c r="G32" s="63"/>
      <c r="H32" s="63"/>
      <c r="I32" s="63"/>
      <c r="J32" s="63"/>
      <c r="N32" s="69"/>
    </row>
    <row r="33" spans="3:14" ht="15.75" customHeight="1">
      <c r="C33" s="93"/>
      <c r="D33" s="95"/>
      <c r="E33" s="63"/>
      <c r="F33" s="63"/>
      <c r="H33" s="63"/>
      <c r="I33" s="63"/>
      <c r="J33" s="63"/>
      <c r="N33" s="69"/>
    </row>
    <row r="34" spans="3:14" ht="15.75" customHeight="1">
      <c r="C34" s="100"/>
      <c r="D34" s="63"/>
      <c r="E34" s="63"/>
      <c r="F34" s="63"/>
      <c r="H34" s="63"/>
      <c r="I34" s="63"/>
      <c r="J34" s="63"/>
      <c r="N34" s="69"/>
    </row>
    <row r="35" spans="3:14" ht="15.75" customHeight="1">
      <c r="C35" s="93"/>
      <c r="D35" s="95"/>
      <c r="E35" s="95"/>
      <c r="F35" s="95"/>
      <c r="H35" s="63"/>
      <c r="I35" s="63"/>
      <c r="J35" s="63"/>
      <c r="N35" s="69"/>
    </row>
    <row r="36" spans="3:14" ht="15.75" customHeight="1">
      <c r="C36" s="93"/>
      <c r="D36" s="93"/>
      <c r="E36" s="93"/>
      <c r="F36" s="93"/>
      <c r="H36" s="63"/>
      <c r="I36" s="63" t="s">
        <v>50</v>
      </c>
      <c r="J36" s="63"/>
      <c r="N36" s="69"/>
    </row>
    <row r="37" spans="3:14" ht="15.75" customHeight="1">
      <c r="C37" s="93"/>
      <c r="D37" s="93"/>
      <c r="E37" s="93"/>
      <c r="F37" s="93"/>
      <c r="H37" s="63"/>
      <c r="I37" s="63"/>
      <c r="J37" s="63"/>
      <c r="N37" s="69"/>
    </row>
    <row r="38" spans="3:14" ht="15.75" customHeight="1">
      <c r="C38" s="93"/>
      <c r="D38" s="93"/>
      <c r="E38" s="93"/>
      <c r="F38" s="93"/>
      <c r="H38" s="63"/>
      <c r="I38" s="63"/>
      <c r="J38" s="63"/>
      <c r="N38" s="69"/>
    </row>
    <row r="39" spans="3:14" ht="15.75" customHeight="1">
      <c r="C39" s="93"/>
      <c r="D39" s="93"/>
      <c r="E39" s="93"/>
      <c r="F39" s="93"/>
      <c r="H39" s="63"/>
      <c r="I39" s="63"/>
      <c r="J39" s="63"/>
      <c r="N39" s="69"/>
    </row>
    <row r="40" spans="3:14" ht="15.75" customHeight="1">
      <c r="C40" s="126"/>
      <c r="D40" s="126"/>
      <c r="E40" s="63"/>
      <c r="F40" s="63"/>
      <c r="G40" s="63"/>
      <c r="H40" s="63"/>
      <c r="I40" s="63"/>
      <c r="J40" s="63"/>
      <c r="N40" s="69"/>
    </row>
    <row r="41" spans="3:14" ht="15.75" customHeight="1">
      <c r="C41" s="127"/>
      <c r="D41" s="128"/>
      <c r="E41" s="128"/>
      <c r="F41" s="128"/>
      <c r="G41" s="63"/>
      <c r="H41" s="63"/>
      <c r="I41" s="63"/>
      <c r="J41" s="63"/>
      <c r="N41" s="69"/>
    </row>
    <row r="42" spans="3:14" ht="15.75" customHeight="1">
      <c r="C42" s="127"/>
      <c r="D42" s="128"/>
      <c r="E42" s="128"/>
      <c r="F42" s="128"/>
      <c r="G42" s="63"/>
      <c r="H42" s="63"/>
      <c r="I42" s="63"/>
      <c r="J42" s="63"/>
      <c r="N42" s="69"/>
    </row>
    <row r="43" spans="3:14" ht="15.75" customHeight="1">
      <c r="C43" s="127"/>
      <c r="D43" s="128"/>
      <c r="E43" s="128"/>
      <c r="F43" s="128"/>
      <c r="G43" s="63"/>
      <c r="H43" s="63"/>
      <c r="I43" s="63"/>
      <c r="J43" s="63"/>
      <c r="N43" s="69"/>
    </row>
    <row r="44" spans="3:14" ht="15.75" customHeight="1">
      <c r="C44" s="127"/>
      <c r="D44" s="128"/>
      <c r="E44" s="128"/>
      <c r="F44" s="128"/>
      <c r="G44" s="63"/>
      <c r="H44" s="63"/>
      <c r="I44" s="63"/>
      <c r="J44" s="63"/>
      <c r="N44" s="69"/>
    </row>
    <row r="45" spans="3:14" ht="15.75" customHeight="1">
      <c r="C45" s="127"/>
      <c r="D45" s="128"/>
      <c r="E45" s="128"/>
      <c r="F45" s="128"/>
      <c r="G45" s="63"/>
      <c r="H45" s="63"/>
      <c r="I45" s="63"/>
      <c r="J45" s="63"/>
      <c r="N45" s="69"/>
    </row>
    <row r="46" spans="3:14" ht="15.75" customHeight="1">
      <c r="C46" s="127"/>
      <c r="D46" s="127"/>
      <c r="E46" s="127"/>
      <c r="F46" s="128"/>
      <c r="G46" s="63"/>
      <c r="H46" s="63"/>
      <c r="I46" s="63"/>
      <c r="J46" s="63"/>
      <c r="N46" s="69"/>
    </row>
    <row r="47" spans="3:14" ht="15.75" customHeight="1">
      <c r="C47" s="127"/>
      <c r="D47" s="128"/>
      <c r="E47" s="128"/>
      <c r="F47" s="128"/>
      <c r="G47" s="63"/>
      <c r="H47" s="63"/>
      <c r="I47" s="63"/>
      <c r="J47" s="63"/>
      <c r="N47" s="69"/>
    </row>
    <row r="48" spans="3:14" ht="15.75" customHeight="1">
      <c r="D48" s="63"/>
      <c r="E48" s="63"/>
      <c r="F48" s="63"/>
      <c r="G48" s="63"/>
      <c r="H48" s="63"/>
      <c r="I48" s="63"/>
      <c r="J48" s="63"/>
      <c r="N48" s="69"/>
    </row>
    <row r="49" spans="4:14" ht="15.75" customHeight="1">
      <c r="D49" s="63"/>
      <c r="E49" s="63"/>
      <c r="F49" s="63"/>
      <c r="G49" s="63"/>
      <c r="H49" s="63"/>
      <c r="I49" s="63"/>
      <c r="J49" s="63"/>
      <c r="N49" s="69"/>
    </row>
    <row r="50" spans="4:14" ht="15.75" customHeight="1">
      <c r="D50" s="63"/>
      <c r="E50" s="63"/>
      <c r="F50" s="63"/>
      <c r="G50" s="63"/>
      <c r="H50" s="63"/>
      <c r="I50" s="63"/>
      <c r="J50" s="63"/>
      <c r="N50" s="69"/>
    </row>
    <row r="51" spans="4:14" ht="15.75" customHeight="1">
      <c r="D51" s="63"/>
      <c r="E51" s="63"/>
      <c r="F51" s="63"/>
      <c r="G51" s="63"/>
      <c r="H51" s="63"/>
      <c r="I51" s="63"/>
      <c r="J51" s="63"/>
      <c r="N51" s="69"/>
    </row>
    <row r="52" spans="4:14" ht="15.75" customHeight="1">
      <c r="D52" s="63"/>
      <c r="E52" s="63"/>
      <c r="F52" s="63"/>
      <c r="G52" s="63"/>
      <c r="H52" s="63"/>
      <c r="I52" s="63"/>
      <c r="J52" s="63"/>
      <c r="N52" s="69"/>
    </row>
    <row r="53" spans="4:14" ht="15.75" customHeight="1">
      <c r="D53" s="63"/>
      <c r="E53" s="63"/>
      <c r="F53" s="63"/>
      <c r="G53" s="63"/>
      <c r="H53" s="63"/>
      <c r="I53" s="63"/>
      <c r="J53" s="63"/>
      <c r="N53" s="69"/>
    </row>
    <row r="54" spans="4:14" ht="15.75" customHeight="1">
      <c r="D54" s="63"/>
      <c r="E54" s="63"/>
      <c r="F54" s="63"/>
      <c r="G54" s="63"/>
      <c r="H54" s="63"/>
      <c r="I54" s="63"/>
      <c r="J54" s="63"/>
      <c r="N54" s="69"/>
    </row>
    <row r="55" spans="4:14" ht="15.75" customHeight="1">
      <c r="D55" s="63"/>
      <c r="E55" s="63"/>
      <c r="F55" s="63"/>
      <c r="G55" s="63"/>
      <c r="H55" s="63"/>
      <c r="I55" s="63"/>
      <c r="J55" s="63"/>
      <c r="N55" s="69"/>
    </row>
    <row r="56" spans="4:14" ht="15.75" customHeight="1">
      <c r="D56" s="63"/>
      <c r="E56" s="63"/>
      <c r="F56" s="63"/>
      <c r="G56" s="63"/>
      <c r="H56" s="63"/>
      <c r="I56" s="63"/>
      <c r="J56" s="63"/>
      <c r="N56" s="69"/>
    </row>
    <row r="57" spans="4:14" ht="15.75" customHeight="1">
      <c r="D57" s="63"/>
      <c r="E57" s="63"/>
      <c r="F57" s="63"/>
      <c r="G57" s="63"/>
      <c r="H57" s="63"/>
      <c r="I57" s="63"/>
      <c r="J57" s="63"/>
      <c r="N57" s="69"/>
    </row>
    <row r="58" spans="4:14" ht="15.75" customHeight="1">
      <c r="D58" s="63"/>
      <c r="E58" s="63"/>
      <c r="F58" s="63"/>
      <c r="G58" s="63"/>
      <c r="H58" s="63"/>
      <c r="I58" s="63"/>
      <c r="J58" s="63"/>
      <c r="N58" s="69"/>
    </row>
    <row r="59" spans="4:14" ht="15.75" customHeight="1">
      <c r="D59" s="63"/>
      <c r="E59" s="63"/>
      <c r="F59" s="63"/>
      <c r="G59" s="63"/>
      <c r="H59" s="63"/>
      <c r="I59" s="63"/>
      <c r="J59" s="63"/>
      <c r="N59" s="69"/>
    </row>
    <row r="60" spans="4:14" ht="15.75" customHeight="1">
      <c r="D60" s="63"/>
      <c r="E60" s="63"/>
      <c r="F60" s="63"/>
      <c r="G60" s="63"/>
      <c r="H60" s="63"/>
      <c r="I60" s="63"/>
      <c r="J60" s="63"/>
      <c r="N60" s="69"/>
    </row>
    <row r="61" spans="4:14" ht="15.75" customHeight="1">
      <c r="D61" s="63"/>
      <c r="E61" s="63"/>
      <c r="F61" s="63"/>
      <c r="G61" s="63"/>
      <c r="H61" s="63"/>
      <c r="I61" s="63"/>
      <c r="J61" s="63"/>
      <c r="N61" s="69"/>
    </row>
    <row r="62" spans="4:14" ht="15.75" customHeight="1">
      <c r="D62" s="63"/>
      <c r="E62" s="63"/>
      <c r="F62" s="63"/>
      <c r="G62" s="63"/>
      <c r="H62" s="63"/>
      <c r="I62" s="63"/>
      <c r="J62" s="63"/>
      <c r="N62" s="69"/>
    </row>
    <row r="63" spans="4:14" ht="15.75" customHeight="1">
      <c r="D63" s="63"/>
      <c r="E63" s="63"/>
      <c r="F63" s="63"/>
      <c r="G63" s="63"/>
      <c r="H63" s="63"/>
      <c r="I63" s="63"/>
      <c r="J63" s="63"/>
      <c r="N63" s="69"/>
    </row>
    <row r="64" spans="4:14" ht="15.75" customHeight="1">
      <c r="D64" s="63"/>
      <c r="E64" s="63"/>
      <c r="F64" s="63"/>
      <c r="G64" s="63"/>
      <c r="H64" s="63"/>
      <c r="I64" s="63"/>
      <c r="J64" s="63"/>
      <c r="N64" s="69"/>
    </row>
    <row r="65" spans="4:14" ht="15.75" customHeight="1">
      <c r="D65" s="63"/>
      <c r="E65" s="63"/>
      <c r="F65" s="63"/>
      <c r="G65" s="63"/>
      <c r="H65" s="63"/>
      <c r="I65" s="63"/>
      <c r="J65" s="63"/>
      <c r="N65" s="69"/>
    </row>
    <row r="66" spans="4:14" ht="15.75" customHeight="1">
      <c r="D66" s="63"/>
      <c r="E66" s="63"/>
      <c r="F66" s="63"/>
      <c r="G66" s="63"/>
      <c r="H66" s="63"/>
      <c r="I66" s="63"/>
      <c r="J66" s="63"/>
      <c r="N66" s="69"/>
    </row>
    <row r="67" spans="4:14" ht="15.75" customHeight="1">
      <c r="D67" s="63"/>
      <c r="E67" s="63"/>
      <c r="F67" s="63"/>
      <c r="G67" s="63"/>
      <c r="H67" s="63"/>
      <c r="I67" s="63"/>
      <c r="J67" s="63"/>
      <c r="N67" s="69"/>
    </row>
    <row r="68" spans="4:14" ht="15.75" customHeight="1">
      <c r="D68" s="63"/>
      <c r="E68" s="63"/>
      <c r="F68" s="63"/>
      <c r="G68" s="63"/>
      <c r="H68" s="63"/>
      <c r="I68" s="63"/>
      <c r="J68" s="63"/>
      <c r="N68" s="69"/>
    </row>
    <row r="69" spans="4:14" ht="15.75" customHeight="1">
      <c r="D69" s="63"/>
      <c r="E69" s="63"/>
      <c r="F69" s="63"/>
      <c r="G69" s="63"/>
      <c r="H69" s="63"/>
      <c r="I69" s="63"/>
      <c r="J69" s="63"/>
      <c r="N69" s="69"/>
    </row>
    <row r="70" spans="4:14" ht="15.75" customHeight="1">
      <c r="D70" s="63"/>
      <c r="E70" s="63"/>
      <c r="F70" s="63"/>
      <c r="G70" s="63"/>
      <c r="H70" s="63"/>
      <c r="I70" s="63"/>
      <c r="J70" s="63"/>
      <c r="N70" s="69"/>
    </row>
    <row r="71" spans="4:14" ht="15.75" customHeight="1">
      <c r="D71" s="63"/>
      <c r="E71" s="63"/>
      <c r="F71" s="63"/>
      <c r="G71" s="63"/>
      <c r="H71" s="63"/>
      <c r="I71" s="63"/>
      <c r="J71" s="63"/>
      <c r="N71" s="69"/>
    </row>
    <row r="72" spans="4:14" ht="15.75" customHeight="1">
      <c r="D72" s="63"/>
      <c r="E72" s="63"/>
      <c r="F72" s="63"/>
      <c r="G72" s="63"/>
      <c r="H72" s="63"/>
      <c r="I72" s="63"/>
      <c r="J72" s="63"/>
      <c r="N72" s="69"/>
    </row>
    <row r="73" spans="4:14" ht="15.75" customHeight="1">
      <c r="D73" s="63"/>
      <c r="E73" s="63"/>
      <c r="F73" s="63"/>
      <c r="G73" s="63"/>
      <c r="H73" s="63"/>
      <c r="I73" s="63"/>
      <c r="J73" s="63"/>
      <c r="N73" s="69"/>
    </row>
    <row r="74" spans="4:14" ht="15.75" customHeight="1">
      <c r="D74" s="63"/>
      <c r="E74" s="63"/>
      <c r="F74" s="63"/>
      <c r="G74" s="63"/>
      <c r="H74" s="63"/>
      <c r="I74" s="63"/>
      <c r="J74" s="63"/>
      <c r="N74" s="69"/>
    </row>
    <row r="75" spans="4:14" ht="15.75" customHeight="1">
      <c r="D75" s="63"/>
      <c r="E75" s="63"/>
      <c r="F75" s="63"/>
      <c r="G75" s="63"/>
      <c r="H75" s="63"/>
      <c r="I75" s="63"/>
      <c r="J75" s="63"/>
      <c r="N75" s="69"/>
    </row>
    <row r="76" spans="4:14" ht="15.75" customHeight="1">
      <c r="D76" s="63"/>
      <c r="E76" s="63"/>
      <c r="F76" s="63"/>
      <c r="G76" s="63"/>
      <c r="H76" s="63"/>
      <c r="I76" s="63"/>
      <c r="J76" s="63"/>
      <c r="N76" s="69"/>
    </row>
    <row r="77" spans="4:14" ht="15.75" customHeight="1">
      <c r="D77" s="63"/>
      <c r="E77" s="63"/>
      <c r="F77" s="63"/>
      <c r="G77" s="63"/>
      <c r="H77" s="63"/>
      <c r="I77" s="63"/>
      <c r="J77" s="63"/>
      <c r="N77" s="69"/>
    </row>
    <row r="78" spans="4:14" ht="15.75" customHeight="1">
      <c r="D78" s="63"/>
      <c r="E78" s="63"/>
      <c r="F78" s="63"/>
      <c r="G78" s="63"/>
      <c r="H78" s="63"/>
      <c r="I78" s="63"/>
      <c r="J78" s="63"/>
      <c r="N78" s="69"/>
    </row>
    <row r="79" spans="4:14" ht="15.75" customHeight="1">
      <c r="D79" s="63"/>
      <c r="E79" s="63"/>
      <c r="F79" s="63"/>
      <c r="G79" s="63"/>
      <c r="H79" s="63"/>
      <c r="I79" s="63"/>
      <c r="J79" s="63"/>
      <c r="N79" s="69"/>
    </row>
    <row r="80" spans="4:14" ht="15.75" customHeight="1">
      <c r="D80" s="63"/>
      <c r="E80" s="63"/>
      <c r="F80" s="63"/>
      <c r="G80" s="63"/>
      <c r="H80" s="63"/>
      <c r="I80" s="63"/>
      <c r="J80" s="63"/>
      <c r="N80" s="69"/>
    </row>
    <row r="81" spans="4:14" ht="15.75" customHeight="1">
      <c r="D81" s="63"/>
      <c r="E81" s="63"/>
      <c r="F81" s="63"/>
      <c r="G81" s="63"/>
      <c r="H81" s="63"/>
      <c r="I81" s="63"/>
      <c r="J81" s="63"/>
      <c r="N81" s="69"/>
    </row>
    <row r="82" spans="4:14" ht="15.75" customHeight="1">
      <c r="D82" s="63"/>
      <c r="E82" s="63"/>
      <c r="F82" s="63"/>
      <c r="G82" s="63"/>
      <c r="H82" s="63"/>
      <c r="I82" s="63"/>
      <c r="J82" s="63"/>
      <c r="N82" s="69"/>
    </row>
    <row r="83" spans="4:14" ht="15.75" customHeight="1">
      <c r="D83" s="63"/>
      <c r="E83" s="63"/>
      <c r="F83" s="63"/>
      <c r="G83" s="63"/>
      <c r="H83" s="63"/>
      <c r="I83" s="63"/>
      <c r="J83" s="63"/>
      <c r="N83" s="69"/>
    </row>
    <row r="84" spans="4:14" ht="15.75" customHeight="1">
      <c r="D84" s="63"/>
      <c r="E84" s="63"/>
      <c r="F84" s="63"/>
      <c r="G84" s="63"/>
      <c r="H84" s="63"/>
      <c r="I84" s="63"/>
      <c r="J84" s="63"/>
      <c r="N84" s="69"/>
    </row>
    <row r="85" spans="4:14" ht="15.75" customHeight="1">
      <c r="D85" s="63"/>
      <c r="E85" s="63"/>
      <c r="F85" s="63"/>
      <c r="G85" s="63"/>
      <c r="H85" s="63"/>
      <c r="I85" s="63"/>
      <c r="J85" s="63"/>
      <c r="N85" s="69"/>
    </row>
    <row r="86" spans="4:14" ht="15.75" customHeight="1">
      <c r="D86" s="63"/>
      <c r="E86" s="63"/>
      <c r="F86" s="63"/>
      <c r="G86" s="63"/>
      <c r="H86" s="63"/>
      <c r="I86" s="63"/>
      <c r="J86" s="63"/>
      <c r="N86" s="69"/>
    </row>
    <row r="87" spans="4:14" ht="15.75" customHeight="1">
      <c r="D87" s="63"/>
      <c r="E87" s="63"/>
      <c r="F87" s="63"/>
      <c r="G87" s="63"/>
      <c r="H87" s="63"/>
      <c r="I87" s="63"/>
      <c r="J87" s="63"/>
      <c r="N87" s="69"/>
    </row>
    <row r="88" spans="4:14" ht="15.75" customHeight="1">
      <c r="D88" s="63"/>
      <c r="E88" s="63"/>
      <c r="F88" s="63"/>
      <c r="G88" s="63"/>
      <c r="H88" s="63"/>
      <c r="I88" s="63"/>
      <c r="J88" s="63"/>
      <c r="N88" s="69"/>
    </row>
    <row r="89" spans="4:14" ht="15.75" customHeight="1">
      <c r="D89" s="63"/>
      <c r="E89" s="63"/>
      <c r="F89" s="63"/>
      <c r="G89" s="63"/>
      <c r="H89" s="63"/>
      <c r="I89" s="63"/>
      <c r="J89" s="63"/>
      <c r="N89" s="69"/>
    </row>
    <row r="90" spans="4:14" ht="15.75" customHeight="1">
      <c r="D90" s="63"/>
      <c r="E90" s="63"/>
      <c r="F90" s="63"/>
      <c r="G90" s="63"/>
      <c r="H90" s="63"/>
      <c r="I90" s="63"/>
      <c r="J90" s="63"/>
      <c r="N90" s="69"/>
    </row>
    <row r="91" spans="4:14" ht="15.75" customHeight="1">
      <c r="D91" s="63"/>
      <c r="E91" s="63"/>
      <c r="F91" s="63"/>
      <c r="G91" s="63"/>
      <c r="H91" s="63"/>
      <c r="I91" s="63"/>
      <c r="J91" s="63"/>
      <c r="N91" s="69"/>
    </row>
    <row r="92" spans="4:14" ht="15.75" customHeight="1">
      <c r="D92" s="63"/>
      <c r="E92" s="63"/>
      <c r="F92" s="63"/>
      <c r="G92" s="63"/>
      <c r="H92" s="63"/>
      <c r="I92" s="63"/>
      <c r="J92" s="63"/>
      <c r="N92" s="69"/>
    </row>
    <row r="93" spans="4:14" ht="15.75" customHeight="1">
      <c r="D93" s="63"/>
      <c r="E93" s="63"/>
      <c r="F93" s="63"/>
      <c r="G93" s="63"/>
      <c r="H93" s="63"/>
      <c r="I93" s="63"/>
      <c r="J93" s="63"/>
      <c r="N93" s="69"/>
    </row>
    <row r="94" spans="4:14" ht="15.75" customHeight="1">
      <c r="D94" s="63"/>
      <c r="E94" s="63"/>
      <c r="F94" s="63"/>
      <c r="G94" s="63"/>
      <c r="H94" s="63"/>
      <c r="I94" s="63"/>
      <c r="J94" s="63"/>
      <c r="N94" s="69"/>
    </row>
    <row r="95" spans="4:14" ht="15.75" customHeight="1">
      <c r="D95" s="63"/>
      <c r="E95" s="63"/>
      <c r="F95" s="63"/>
      <c r="G95" s="63"/>
      <c r="H95" s="63"/>
      <c r="I95" s="63"/>
      <c r="J95" s="63"/>
      <c r="N95" s="69"/>
    </row>
    <row r="96" spans="4:14" ht="15.75" customHeight="1">
      <c r="D96" s="63"/>
      <c r="E96" s="63"/>
      <c r="F96" s="63"/>
      <c r="G96" s="63"/>
      <c r="H96" s="63"/>
      <c r="I96" s="63"/>
      <c r="J96" s="63"/>
      <c r="N96" s="69"/>
    </row>
    <row r="97" spans="4:14" ht="15.75" customHeight="1">
      <c r="D97" s="63"/>
      <c r="E97" s="63"/>
      <c r="F97" s="63"/>
      <c r="G97" s="63"/>
      <c r="H97" s="63"/>
      <c r="I97" s="63"/>
      <c r="J97" s="63"/>
      <c r="N97" s="69"/>
    </row>
    <row r="98" spans="4:14" ht="15.75" customHeight="1">
      <c r="D98" s="63"/>
      <c r="E98" s="63"/>
      <c r="F98" s="63"/>
      <c r="G98" s="63"/>
      <c r="H98" s="63"/>
      <c r="I98" s="63"/>
      <c r="J98" s="63"/>
      <c r="N98" s="69"/>
    </row>
    <row r="99" spans="4:14" ht="15.75" customHeight="1">
      <c r="D99" s="63"/>
      <c r="E99" s="63"/>
      <c r="F99" s="63"/>
      <c r="G99" s="63"/>
      <c r="H99" s="63"/>
      <c r="I99" s="63"/>
      <c r="J99" s="63"/>
      <c r="N99" s="69"/>
    </row>
    <row r="100" spans="4:14" ht="15.75" customHeight="1">
      <c r="D100" s="63"/>
      <c r="E100" s="63"/>
      <c r="F100" s="63"/>
      <c r="G100" s="63"/>
      <c r="H100" s="63"/>
      <c r="I100" s="63"/>
      <c r="J100" s="63"/>
      <c r="N100" s="69"/>
    </row>
    <row r="101" spans="4:14" ht="15.75" customHeight="1">
      <c r="D101" s="63"/>
      <c r="E101" s="63"/>
      <c r="F101" s="63"/>
      <c r="G101" s="63"/>
      <c r="H101" s="63"/>
      <c r="I101" s="63"/>
      <c r="J101" s="63"/>
      <c r="N101" s="69"/>
    </row>
    <row r="102" spans="4:14" ht="15.75" customHeight="1">
      <c r="D102" s="63"/>
      <c r="E102" s="63"/>
      <c r="F102" s="63"/>
      <c r="G102" s="63"/>
      <c r="H102" s="63"/>
      <c r="I102" s="63"/>
      <c r="J102" s="63"/>
      <c r="N102" s="69"/>
    </row>
    <row r="103" spans="4:14" ht="15.75" customHeight="1">
      <c r="D103" s="63"/>
      <c r="E103" s="63"/>
      <c r="F103" s="63"/>
      <c r="G103" s="63"/>
      <c r="H103" s="63"/>
      <c r="I103" s="63"/>
      <c r="J103" s="63"/>
      <c r="N103" s="69"/>
    </row>
    <row r="104" spans="4:14" ht="15.75" customHeight="1">
      <c r="D104" s="63"/>
      <c r="E104" s="63"/>
      <c r="F104" s="63"/>
      <c r="G104" s="63"/>
      <c r="H104" s="63"/>
      <c r="I104" s="63"/>
      <c r="J104" s="63"/>
      <c r="N104" s="69"/>
    </row>
    <row r="105" spans="4:14" ht="15.75" customHeight="1">
      <c r="D105" s="63"/>
      <c r="E105" s="63"/>
      <c r="F105" s="63"/>
      <c r="G105" s="63"/>
      <c r="H105" s="63"/>
      <c r="I105" s="63"/>
      <c r="J105" s="63"/>
      <c r="N105" s="69"/>
    </row>
    <row r="106" spans="4:14" ht="15.75" customHeight="1">
      <c r="D106" s="63"/>
      <c r="E106" s="63"/>
      <c r="F106" s="63"/>
      <c r="G106" s="63"/>
      <c r="H106" s="63"/>
      <c r="I106" s="63"/>
      <c r="J106" s="63"/>
      <c r="N106" s="69"/>
    </row>
    <row r="107" spans="4:14" ht="15.75" customHeight="1">
      <c r="D107" s="63"/>
      <c r="E107" s="63"/>
      <c r="F107" s="63"/>
      <c r="G107" s="63"/>
      <c r="H107" s="63"/>
      <c r="I107" s="63"/>
      <c r="J107" s="63"/>
      <c r="N107" s="69"/>
    </row>
    <row r="108" spans="4:14" ht="15.75" customHeight="1">
      <c r="D108" s="63"/>
      <c r="E108" s="63"/>
      <c r="F108" s="63"/>
      <c r="G108" s="63"/>
      <c r="H108" s="63"/>
      <c r="I108" s="63"/>
      <c r="J108" s="63"/>
      <c r="N108" s="69"/>
    </row>
    <row r="109" spans="4:14" ht="15.75" customHeight="1">
      <c r="D109" s="63"/>
      <c r="E109" s="63"/>
      <c r="F109" s="63"/>
      <c r="G109" s="63"/>
      <c r="H109" s="63"/>
      <c r="I109" s="63"/>
      <c r="J109" s="63"/>
      <c r="N109" s="69"/>
    </row>
    <row r="110" spans="4:14" ht="15.75" customHeight="1">
      <c r="D110" s="63"/>
      <c r="E110" s="63"/>
      <c r="F110" s="63"/>
      <c r="G110" s="63"/>
      <c r="H110" s="63"/>
      <c r="I110" s="63"/>
      <c r="J110" s="63"/>
      <c r="N110" s="69"/>
    </row>
    <row r="111" spans="4:14" ht="15.75" customHeight="1">
      <c r="D111" s="63"/>
      <c r="E111" s="63"/>
      <c r="F111" s="63"/>
      <c r="G111" s="63"/>
      <c r="H111" s="63"/>
      <c r="I111" s="63"/>
      <c r="J111" s="63"/>
      <c r="N111" s="69"/>
    </row>
    <row r="112" spans="4:14" ht="15.75" customHeight="1">
      <c r="D112" s="63"/>
      <c r="E112" s="63"/>
      <c r="F112" s="63"/>
      <c r="G112" s="63"/>
      <c r="H112" s="63"/>
      <c r="I112" s="63"/>
      <c r="J112" s="63"/>
      <c r="N112" s="69"/>
    </row>
    <row r="113" spans="4:14" ht="15.75" customHeight="1">
      <c r="D113" s="63"/>
      <c r="E113" s="63"/>
      <c r="F113" s="63"/>
      <c r="G113" s="63"/>
      <c r="H113" s="63"/>
      <c r="I113" s="63"/>
      <c r="J113" s="63"/>
      <c r="N113" s="69"/>
    </row>
    <row r="114" spans="4:14" ht="15.75" customHeight="1">
      <c r="D114" s="63"/>
      <c r="E114" s="63"/>
      <c r="F114" s="63"/>
      <c r="G114" s="63"/>
      <c r="H114" s="63"/>
      <c r="I114" s="63"/>
      <c r="J114" s="63"/>
      <c r="N114" s="69"/>
    </row>
    <row r="115" spans="4:14" ht="15.75" customHeight="1">
      <c r="D115" s="63"/>
      <c r="E115" s="63"/>
      <c r="F115" s="63"/>
      <c r="G115" s="63"/>
      <c r="H115" s="63"/>
      <c r="I115" s="63"/>
      <c r="J115" s="63"/>
      <c r="N115" s="69"/>
    </row>
    <row r="116" spans="4:14" ht="15.75" customHeight="1">
      <c r="D116" s="63"/>
      <c r="E116" s="63"/>
      <c r="F116" s="63"/>
      <c r="G116" s="63"/>
      <c r="H116" s="63"/>
      <c r="I116" s="63"/>
      <c r="J116" s="63"/>
      <c r="N116" s="69"/>
    </row>
    <row r="117" spans="4:14" ht="15.75" customHeight="1">
      <c r="D117" s="63"/>
      <c r="E117" s="63"/>
      <c r="F117" s="63"/>
      <c r="G117" s="63"/>
      <c r="H117" s="63"/>
      <c r="I117" s="63"/>
      <c r="J117" s="63"/>
      <c r="N117" s="69"/>
    </row>
    <row r="118" spans="4:14" ht="15.75" customHeight="1">
      <c r="D118" s="63"/>
      <c r="E118" s="63"/>
      <c r="F118" s="63"/>
      <c r="G118" s="63"/>
      <c r="H118" s="63"/>
      <c r="I118" s="63"/>
      <c r="J118" s="63"/>
      <c r="N118" s="69"/>
    </row>
    <row r="119" spans="4:14" ht="15.75" customHeight="1">
      <c r="D119" s="63"/>
      <c r="E119" s="63"/>
      <c r="F119" s="63"/>
      <c r="G119" s="63"/>
      <c r="H119" s="63"/>
      <c r="I119" s="63"/>
      <c r="J119" s="63"/>
      <c r="N119" s="69"/>
    </row>
    <row r="120" spans="4:14" ht="15.75" customHeight="1">
      <c r="D120" s="63"/>
      <c r="E120" s="63"/>
      <c r="F120" s="63"/>
      <c r="G120" s="63"/>
      <c r="H120" s="63"/>
      <c r="I120" s="63"/>
      <c r="J120" s="63"/>
      <c r="N120" s="69"/>
    </row>
    <row r="121" spans="4:14" ht="15.75" customHeight="1">
      <c r="D121" s="63"/>
      <c r="E121" s="63"/>
      <c r="F121" s="63"/>
      <c r="G121" s="63"/>
      <c r="H121" s="63"/>
      <c r="I121" s="63"/>
      <c r="J121" s="63"/>
      <c r="N121" s="69"/>
    </row>
    <row r="122" spans="4:14" ht="15.75" customHeight="1">
      <c r="D122" s="63"/>
      <c r="E122" s="63"/>
      <c r="F122" s="63"/>
      <c r="G122" s="63"/>
      <c r="H122" s="63"/>
      <c r="I122" s="63"/>
      <c r="J122" s="63"/>
      <c r="N122" s="69"/>
    </row>
    <row r="123" spans="4:14" ht="15.75" customHeight="1">
      <c r="D123" s="63"/>
      <c r="E123" s="63"/>
      <c r="F123" s="63"/>
      <c r="G123" s="63"/>
      <c r="H123" s="63"/>
      <c r="I123" s="63"/>
      <c r="J123" s="63"/>
      <c r="N123" s="69"/>
    </row>
    <row r="124" spans="4:14" ht="15.75" customHeight="1">
      <c r="D124" s="63"/>
      <c r="E124" s="63"/>
      <c r="F124" s="63"/>
      <c r="G124" s="63"/>
      <c r="H124" s="63"/>
      <c r="I124" s="63"/>
      <c r="J124" s="63"/>
      <c r="N124" s="69"/>
    </row>
    <row r="125" spans="4:14" ht="15.75" customHeight="1">
      <c r="D125" s="63"/>
      <c r="E125" s="63"/>
      <c r="F125" s="63"/>
      <c r="G125" s="63"/>
      <c r="H125" s="63"/>
      <c r="I125" s="63"/>
      <c r="J125" s="63"/>
      <c r="N125" s="69"/>
    </row>
    <row r="126" spans="4:14" ht="15.75" customHeight="1">
      <c r="D126" s="63"/>
      <c r="E126" s="63"/>
      <c r="F126" s="63"/>
      <c r="G126" s="63"/>
      <c r="H126" s="63"/>
      <c r="I126" s="63"/>
      <c r="J126" s="63"/>
      <c r="N126" s="69"/>
    </row>
    <row r="127" spans="4:14" ht="15.75" customHeight="1">
      <c r="D127" s="63"/>
      <c r="E127" s="63"/>
      <c r="F127" s="63"/>
      <c r="G127" s="63"/>
      <c r="H127" s="63"/>
      <c r="I127" s="63"/>
      <c r="J127" s="63"/>
      <c r="N127" s="69"/>
    </row>
    <row r="128" spans="4:14" ht="15.75" customHeight="1">
      <c r="D128" s="63"/>
      <c r="E128" s="63"/>
      <c r="F128" s="63"/>
      <c r="G128" s="63"/>
      <c r="H128" s="63"/>
      <c r="I128" s="63"/>
      <c r="J128" s="63"/>
      <c r="N128" s="69"/>
    </row>
    <row r="129" spans="4:14" ht="15.75" customHeight="1">
      <c r="D129" s="63"/>
      <c r="E129" s="63"/>
      <c r="F129" s="63"/>
      <c r="G129" s="63"/>
      <c r="H129" s="63"/>
      <c r="I129" s="63"/>
      <c r="J129" s="63"/>
      <c r="N129" s="69"/>
    </row>
    <row r="130" spans="4:14" ht="15.75" customHeight="1">
      <c r="D130" s="63"/>
      <c r="E130" s="63"/>
      <c r="F130" s="63"/>
      <c r="G130" s="63"/>
      <c r="H130" s="63"/>
      <c r="I130" s="63"/>
      <c r="J130" s="63"/>
      <c r="N130" s="69"/>
    </row>
    <row r="131" spans="4:14" ht="15.75" customHeight="1">
      <c r="D131" s="63"/>
      <c r="E131" s="63"/>
      <c r="F131" s="63"/>
      <c r="G131" s="63"/>
      <c r="H131" s="63"/>
      <c r="I131" s="63"/>
      <c r="J131" s="63"/>
      <c r="N131" s="69"/>
    </row>
    <row r="132" spans="4:14" ht="15.75" customHeight="1">
      <c r="D132" s="63"/>
      <c r="E132" s="63"/>
      <c r="F132" s="63"/>
      <c r="G132" s="63"/>
      <c r="H132" s="63"/>
      <c r="I132" s="63"/>
      <c r="J132" s="63"/>
      <c r="N132" s="69"/>
    </row>
    <row r="133" spans="4:14" ht="15.75" customHeight="1">
      <c r="D133" s="63"/>
      <c r="E133" s="63"/>
      <c r="F133" s="63"/>
      <c r="G133" s="63"/>
      <c r="H133" s="63"/>
      <c r="I133" s="63"/>
      <c r="J133" s="63"/>
      <c r="N133" s="69"/>
    </row>
    <row r="134" spans="4:14" ht="15.75" customHeight="1">
      <c r="D134" s="63"/>
      <c r="E134" s="63"/>
      <c r="F134" s="63"/>
      <c r="G134" s="63"/>
      <c r="H134" s="63"/>
      <c r="I134" s="63"/>
      <c r="J134" s="63"/>
      <c r="N134" s="69"/>
    </row>
    <row r="135" spans="4:14" ht="15.75" customHeight="1">
      <c r="D135" s="63"/>
      <c r="E135" s="63"/>
      <c r="F135" s="63"/>
      <c r="G135" s="63"/>
      <c r="H135" s="63"/>
      <c r="I135" s="63"/>
      <c r="J135" s="63"/>
      <c r="N135" s="69"/>
    </row>
    <row r="136" spans="4:14" ht="15.75" customHeight="1">
      <c r="D136" s="63"/>
      <c r="E136" s="63"/>
      <c r="F136" s="63"/>
      <c r="G136" s="63"/>
      <c r="H136" s="63"/>
      <c r="I136" s="63"/>
      <c r="J136" s="63"/>
      <c r="N136" s="69"/>
    </row>
    <row r="137" spans="4:14" ht="15.75" customHeight="1">
      <c r="D137" s="63"/>
      <c r="E137" s="63"/>
      <c r="F137" s="63"/>
      <c r="G137" s="63"/>
      <c r="H137" s="63"/>
      <c r="I137" s="63"/>
      <c r="J137" s="63"/>
      <c r="N137" s="69"/>
    </row>
    <row r="138" spans="4:14" ht="15.75" customHeight="1">
      <c r="D138" s="63"/>
      <c r="E138" s="63"/>
      <c r="F138" s="63"/>
      <c r="G138" s="63"/>
      <c r="H138" s="63"/>
      <c r="I138" s="63"/>
      <c r="J138" s="63"/>
      <c r="N138" s="69"/>
    </row>
    <row r="139" spans="4:14" ht="15.75" customHeight="1">
      <c r="D139" s="63"/>
      <c r="E139" s="63"/>
      <c r="F139" s="63"/>
      <c r="G139" s="63"/>
      <c r="H139" s="63"/>
      <c r="I139" s="63"/>
      <c r="J139" s="63"/>
      <c r="N139" s="69"/>
    </row>
    <row r="140" spans="4:14" ht="15.75" customHeight="1">
      <c r="D140" s="63"/>
      <c r="E140" s="63"/>
      <c r="F140" s="63"/>
      <c r="G140" s="63"/>
      <c r="H140" s="63"/>
      <c r="I140" s="63"/>
      <c r="J140" s="63"/>
      <c r="N140" s="69"/>
    </row>
    <row r="141" spans="4:14" ht="15.75" customHeight="1">
      <c r="D141" s="63"/>
      <c r="E141" s="63"/>
      <c r="F141" s="63"/>
      <c r="G141" s="63"/>
      <c r="H141" s="63"/>
      <c r="I141" s="63"/>
      <c r="J141" s="63"/>
      <c r="N141" s="69"/>
    </row>
    <row r="142" spans="4:14" ht="15.75" customHeight="1">
      <c r="D142" s="63"/>
      <c r="E142" s="63"/>
      <c r="F142" s="63"/>
      <c r="G142" s="63"/>
      <c r="H142" s="63"/>
      <c r="I142" s="63"/>
      <c r="J142" s="63"/>
      <c r="N142" s="69"/>
    </row>
    <row r="143" spans="4:14" ht="15.75" customHeight="1">
      <c r="D143" s="63"/>
      <c r="E143" s="63"/>
      <c r="F143" s="63"/>
      <c r="G143" s="63"/>
      <c r="H143" s="63"/>
      <c r="I143" s="63"/>
      <c r="J143" s="63"/>
      <c r="N143" s="69"/>
    </row>
    <row r="144" spans="4:14" ht="15.75" customHeight="1">
      <c r="D144" s="63"/>
      <c r="E144" s="63"/>
      <c r="F144" s="63"/>
      <c r="G144" s="63"/>
      <c r="H144" s="63"/>
      <c r="I144" s="63"/>
      <c r="J144" s="63"/>
      <c r="N144" s="69"/>
    </row>
    <row r="145" spans="4:14" ht="15.75" customHeight="1">
      <c r="D145" s="63"/>
      <c r="E145" s="63"/>
      <c r="F145" s="63"/>
      <c r="G145" s="63"/>
      <c r="H145" s="63"/>
      <c r="I145" s="63"/>
      <c r="J145" s="63"/>
      <c r="N145" s="69"/>
    </row>
    <row r="146" spans="4:14" ht="15.75" customHeight="1">
      <c r="D146" s="63"/>
      <c r="E146" s="63"/>
      <c r="F146" s="63"/>
      <c r="G146" s="63"/>
      <c r="H146" s="63"/>
      <c r="I146" s="63"/>
      <c r="J146" s="63"/>
      <c r="N146" s="69"/>
    </row>
    <row r="147" spans="4:14" ht="15.75" customHeight="1">
      <c r="D147" s="63"/>
      <c r="E147" s="63"/>
      <c r="F147" s="63"/>
      <c r="G147" s="63"/>
      <c r="H147" s="63"/>
      <c r="I147" s="63"/>
      <c r="J147" s="63"/>
      <c r="N147" s="69"/>
    </row>
    <row r="148" spans="4:14" ht="15.75" customHeight="1">
      <c r="D148" s="63"/>
      <c r="E148" s="63"/>
      <c r="F148" s="63"/>
      <c r="G148" s="63"/>
      <c r="H148" s="63"/>
      <c r="I148" s="63"/>
      <c r="J148" s="63"/>
      <c r="N148" s="69"/>
    </row>
    <row r="149" spans="4:14" ht="15.75" customHeight="1">
      <c r="D149" s="63"/>
      <c r="E149" s="63"/>
      <c r="F149" s="63"/>
      <c r="G149" s="63"/>
      <c r="H149" s="63"/>
      <c r="I149" s="63"/>
      <c r="J149" s="63"/>
      <c r="N149" s="69"/>
    </row>
    <row r="150" spans="4:14" ht="15.75" customHeight="1">
      <c r="D150" s="63"/>
      <c r="E150" s="63"/>
      <c r="F150" s="63"/>
      <c r="G150" s="63"/>
      <c r="H150" s="63"/>
      <c r="I150" s="63"/>
      <c r="J150" s="63"/>
      <c r="N150" s="69"/>
    </row>
    <row r="151" spans="4:14" ht="15.75" customHeight="1">
      <c r="D151" s="63"/>
      <c r="E151" s="63"/>
      <c r="F151" s="63"/>
      <c r="G151" s="63"/>
      <c r="H151" s="63"/>
      <c r="I151" s="63"/>
      <c r="J151" s="63"/>
      <c r="N151" s="69"/>
    </row>
    <row r="152" spans="4:14" ht="15.75" customHeight="1">
      <c r="D152" s="63"/>
      <c r="E152" s="63"/>
      <c r="F152" s="63"/>
      <c r="G152" s="63"/>
      <c r="H152" s="63"/>
      <c r="I152" s="63"/>
      <c r="J152" s="63"/>
      <c r="N152" s="69"/>
    </row>
    <row r="153" spans="4:14" ht="15.75" customHeight="1">
      <c r="D153" s="63"/>
      <c r="E153" s="63"/>
      <c r="F153" s="63"/>
      <c r="G153" s="63"/>
      <c r="H153" s="63"/>
      <c r="I153" s="63"/>
      <c r="J153" s="63"/>
      <c r="N153" s="69"/>
    </row>
    <row r="154" spans="4:14" ht="15.75" customHeight="1">
      <c r="D154" s="63"/>
      <c r="E154" s="63"/>
      <c r="F154" s="63"/>
      <c r="G154" s="63"/>
      <c r="H154" s="63"/>
      <c r="I154" s="63"/>
      <c r="J154" s="63"/>
      <c r="N154" s="69"/>
    </row>
    <row r="155" spans="4:14" ht="15.75" customHeight="1">
      <c r="D155" s="63"/>
      <c r="E155" s="63"/>
      <c r="F155" s="63"/>
      <c r="G155" s="63"/>
      <c r="H155" s="63"/>
      <c r="I155" s="63"/>
      <c r="J155" s="63"/>
      <c r="N155" s="69"/>
    </row>
    <row r="156" spans="4:14" ht="15.75" customHeight="1">
      <c r="D156" s="63"/>
      <c r="E156" s="63"/>
      <c r="F156" s="63"/>
      <c r="G156" s="63"/>
      <c r="H156" s="63"/>
      <c r="I156" s="63"/>
      <c r="J156" s="63"/>
      <c r="N156" s="69"/>
    </row>
    <row r="157" spans="4:14" ht="15.75" customHeight="1">
      <c r="D157" s="63"/>
      <c r="E157" s="63"/>
      <c r="F157" s="63"/>
      <c r="G157" s="63"/>
      <c r="H157" s="63"/>
      <c r="I157" s="63"/>
      <c r="J157" s="63"/>
      <c r="N157" s="69"/>
    </row>
    <row r="158" spans="4:14" ht="15.75" customHeight="1">
      <c r="D158" s="63"/>
      <c r="E158" s="63"/>
      <c r="F158" s="63"/>
      <c r="G158" s="63"/>
      <c r="H158" s="63"/>
      <c r="I158" s="63"/>
      <c r="J158" s="63"/>
      <c r="N158" s="69"/>
    </row>
    <row r="159" spans="4:14" ht="15.75" customHeight="1">
      <c r="D159" s="63"/>
      <c r="E159" s="63"/>
      <c r="F159" s="63"/>
      <c r="G159" s="63"/>
      <c r="H159" s="63"/>
      <c r="I159" s="63"/>
      <c r="J159" s="63"/>
      <c r="N159" s="69"/>
    </row>
    <row r="160" spans="4:14" ht="15.75" customHeight="1">
      <c r="D160" s="63"/>
      <c r="E160" s="63"/>
      <c r="F160" s="63"/>
      <c r="G160" s="63"/>
      <c r="H160" s="63"/>
      <c r="I160" s="63"/>
      <c r="J160" s="63"/>
      <c r="N160" s="69"/>
    </row>
    <row r="161" spans="4:14" ht="15.75" customHeight="1">
      <c r="D161" s="63"/>
      <c r="E161" s="63"/>
      <c r="F161" s="63"/>
      <c r="G161" s="63"/>
      <c r="H161" s="63"/>
      <c r="I161" s="63"/>
      <c r="J161" s="63"/>
      <c r="N161" s="69"/>
    </row>
    <row r="162" spans="4:14" ht="15.75" customHeight="1">
      <c r="D162" s="63"/>
      <c r="E162" s="63"/>
      <c r="F162" s="63"/>
      <c r="G162" s="63"/>
      <c r="H162" s="63"/>
      <c r="I162" s="63"/>
      <c r="J162" s="63"/>
      <c r="N162" s="69"/>
    </row>
    <row r="163" spans="4:14" ht="15.75" customHeight="1">
      <c r="D163" s="63"/>
      <c r="E163" s="63"/>
      <c r="F163" s="63"/>
      <c r="G163" s="63"/>
      <c r="H163" s="63"/>
      <c r="I163" s="63"/>
      <c r="J163" s="63"/>
      <c r="N163" s="69"/>
    </row>
    <row r="164" spans="4:14" ht="15.75" customHeight="1">
      <c r="D164" s="63"/>
      <c r="E164" s="63"/>
      <c r="F164" s="63"/>
      <c r="G164" s="63"/>
      <c r="H164" s="63"/>
      <c r="I164" s="63"/>
      <c r="J164" s="63"/>
      <c r="N164" s="69"/>
    </row>
    <row r="165" spans="4:14" ht="15.75" customHeight="1">
      <c r="D165" s="63"/>
      <c r="E165" s="63"/>
      <c r="F165" s="63"/>
      <c r="G165" s="63"/>
      <c r="H165" s="63"/>
      <c r="I165" s="63"/>
      <c r="J165" s="63"/>
      <c r="N165" s="69"/>
    </row>
    <row r="166" spans="4:14" ht="15.75" customHeight="1">
      <c r="D166" s="63"/>
      <c r="E166" s="63"/>
      <c r="F166" s="63"/>
      <c r="G166" s="63"/>
      <c r="H166" s="63"/>
      <c r="I166" s="63"/>
      <c r="J166" s="63"/>
      <c r="N166" s="69"/>
    </row>
    <row r="167" spans="4:14" ht="15.75" customHeight="1">
      <c r="D167" s="63"/>
      <c r="E167" s="63"/>
      <c r="F167" s="63"/>
      <c r="G167" s="63"/>
      <c r="H167" s="63"/>
      <c r="I167" s="63"/>
      <c r="J167" s="63"/>
      <c r="N167" s="69"/>
    </row>
    <row r="168" spans="4:14" ht="15.75" customHeight="1">
      <c r="D168" s="63"/>
      <c r="E168" s="63"/>
      <c r="F168" s="63"/>
      <c r="G168" s="63"/>
      <c r="H168" s="63"/>
      <c r="I168" s="63"/>
      <c r="J168" s="63"/>
      <c r="N168" s="69"/>
    </row>
    <row r="169" spans="4:14" ht="15.75" customHeight="1">
      <c r="D169" s="63"/>
      <c r="E169" s="63"/>
      <c r="F169" s="63"/>
      <c r="G169" s="63"/>
      <c r="H169" s="63"/>
      <c r="I169" s="63"/>
      <c r="J169" s="63"/>
      <c r="N169" s="69"/>
    </row>
    <row r="170" spans="4:14" ht="15.75" customHeight="1">
      <c r="D170" s="63"/>
      <c r="E170" s="63"/>
      <c r="F170" s="63"/>
      <c r="G170" s="63"/>
      <c r="H170" s="63"/>
      <c r="I170" s="63"/>
      <c r="J170" s="63"/>
      <c r="N170" s="69"/>
    </row>
    <row r="171" spans="4:14" ht="15.75" customHeight="1">
      <c r="D171" s="63"/>
      <c r="E171" s="63"/>
      <c r="F171" s="63"/>
      <c r="G171" s="63"/>
      <c r="H171" s="63"/>
      <c r="I171" s="63"/>
      <c r="J171" s="63"/>
      <c r="N171" s="69"/>
    </row>
    <row r="172" spans="4:14" ht="15.75" customHeight="1">
      <c r="D172" s="63"/>
      <c r="E172" s="63"/>
      <c r="F172" s="63"/>
      <c r="G172" s="63"/>
      <c r="H172" s="63"/>
      <c r="I172" s="63"/>
      <c r="J172" s="63"/>
      <c r="N172" s="69"/>
    </row>
    <row r="173" spans="4:14" ht="15.75" customHeight="1">
      <c r="D173" s="63"/>
      <c r="E173" s="63"/>
      <c r="F173" s="63"/>
      <c r="G173" s="63"/>
      <c r="H173" s="63"/>
      <c r="I173" s="63"/>
      <c r="J173" s="63"/>
      <c r="N173" s="69"/>
    </row>
    <row r="174" spans="4:14" ht="15.75" customHeight="1">
      <c r="D174" s="63"/>
      <c r="E174" s="63"/>
      <c r="F174" s="63"/>
      <c r="G174" s="63"/>
      <c r="H174" s="63"/>
      <c r="I174" s="63"/>
      <c r="J174" s="63"/>
      <c r="N174" s="69"/>
    </row>
    <row r="175" spans="4:14" ht="15.75" customHeight="1">
      <c r="D175" s="63"/>
      <c r="E175" s="63"/>
      <c r="F175" s="63"/>
      <c r="G175" s="63"/>
      <c r="H175" s="63"/>
      <c r="I175" s="63"/>
      <c r="J175" s="63"/>
      <c r="N175" s="69"/>
    </row>
    <row r="176" spans="4:14" ht="15.75" customHeight="1">
      <c r="D176" s="63"/>
      <c r="E176" s="63"/>
      <c r="F176" s="63"/>
      <c r="G176" s="63"/>
      <c r="H176" s="63"/>
      <c r="I176" s="63"/>
      <c r="J176" s="63"/>
      <c r="N176" s="69"/>
    </row>
    <row r="177" spans="4:14" ht="15.75" customHeight="1">
      <c r="D177" s="63"/>
      <c r="E177" s="63"/>
      <c r="F177" s="63"/>
      <c r="G177" s="63"/>
      <c r="H177" s="63"/>
      <c r="I177" s="63"/>
      <c r="J177" s="63"/>
      <c r="N177" s="69"/>
    </row>
    <row r="178" spans="4:14" ht="15.75" customHeight="1">
      <c r="D178" s="63"/>
      <c r="E178" s="63"/>
      <c r="F178" s="63"/>
      <c r="G178" s="63"/>
      <c r="H178" s="63"/>
      <c r="I178" s="63"/>
      <c r="J178" s="63"/>
      <c r="N178" s="69"/>
    </row>
    <row r="179" spans="4:14" ht="15.75" customHeight="1">
      <c r="D179" s="63"/>
      <c r="E179" s="63"/>
      <c r="F179" s="63"/>
      <c r="G179" s="63"/>
      <c r="H179" s="63"/>
      <c r="I179" s="63"/>
      <c r="J179" s="63"/>
      <c r="N179" s="69"/>
    </row>
    <row r="180" spans="4:14" ht="15.75" customHeight="1">
      <c r="D180" s="63"/>
      <c r="E180" s="63"/>
      <c r="F180" s="63"/>
      <c r="G180" s="63"/>
      <c r="H180" s="63"/>
      <c r="I180" s="63"/>
      <c r="J180" s="63"/>
      <c r="N180" s="69"/>
    </row>
    <row r="181" spans="4:14" ht="15.75" customHeight="1">
      <c r="D181" s="63"/>
      <c r="E181" s="63"/>
      <c r="F181" s="63"/>
      <c r="G181" s="63"/>
      <c r="H181" s="63"/>
      <c r="I181" s="63"/>
      <c r="J181" s="63"/>
      <c r="N181" s="69"/>
    </row>
    <row r="182" spans="4:14" ht="15.75" customHeight="1">
      <c r="D182" s="63"/>
      <c r="E182" s="63"/>
      <c r="F182" s="63"/>
      <c r="G182" s="63"/>
      <c r="H182" s="63"/>
      <c r="I182" s="63"/>
      <c r="J182" s="63"/>
      <c r="N182" s="69"/>
    </row>
    <row r="183" spans="4:14" ht="15.75" customHeight="1">
      <c r="D183" s="63"/>
      <c r="E183" s="63"/>
      <c r="F183" s="63"/>
      <c r="G183" s="63"/>
      <c r="H183" s="63"/>
      <c r="I183" s="63"/>
      <c r="J183" s="63"/>
      <c r="N183" s="69"/>
    </row>
    <row r="184" spans="4:14" ht="15.75" customHeight="1">
      <c r="D184" s="63"/>
      <c r="E184" s="63"/>
      <c r="F184" s="63"/>
      <c r="G184" s="63"/>
      <c r="H184" s="63"/>
      <c r="I184" s="63"/>
      <c r="J184" s="63"/>
      <c r="N184" s="69"/>
    </row>
    <row r="185" spans="4:14" ht="15.75" customHeight="1">
      <c r="D185" s="63"/>
      <c r="E185" s="63"/>
      <c r="F185" s="63"/>
      <c r="G185" s="63"/>
      <c r="H185" s="63"/>
      <c r="I185" s="63"/>
      <c r="J185" s="63"/>
      <c r="N185" s="69"/>
    </row>
    <row r="186" spans="4:14" ht="15.75" customHeight="1">
      <c r="D186" s="63"/>
      <c r="E186" s="63"/>
      <c r="F186" s="63"/>
      <c r="G186" s="63"/>
      <c r="H186" s="63"/>
      <c r="I186" s="63"/>
      <c r="J186" s="63"/>
      <c r="N186" s="69"/>
    </row>
    <row r="187" spans="4:14" ht="15.75" customHeight="1">
      <c r="D187" s="63"/>
      <c r="E187" s="63"/>
      <c r="F187" s="63"/>
      <c r="G187" s="63"/>
      <c r="H187" s="63"/>
      <c r="I187" s="63"/>
      <c r="J187" s="63"/>
      <c r="N187" s="69"/>
    </row>
    <row r="188" spans="4:14" ht="15.75" customHeight="1">
      <c r="D188" s="63"/>
      <c r="E188" s="63"/>
      <c r="F188" s="63"/>
      <c r="G188" s="63"/>
      <c r="H188" s="63"/>
      <c r="I188" s="63"/>
      <c r="J188" s="63"/>
      <c r="N188" s="69"/>
    </row>
    <row r="189" spans="4:14" ht="15.75" customHeight="1">
      <c r="D189" s="63"/>
      <c r="E189" s="63"/>
      <c r="F189" s="63"/>
      <c r="G189" s="63"/>
      <c r="H189" s="63"/>
      <c r="I189" s="63"/>
      <c r="J189" s="63"/>
      <c r="N189" s="69"/>
    </row>
    <row r="190" spans="4:14" ht="15.75" customHeight="1">
      <c r="D190" s="63"/>
      <c r="E190" s="63"/>
      <c r="F190" s="63"/>
      <c r="G190" s="63"/>
      <c r="H190" s="63"/>
      <c r="I190" s="63"/>
      <c r="J190" s="63"/>
      <c r="N190" s="69"/>
    </row>
    <row r="191" spans="4:14" ht="15.75" customHeight="1">
      <c r="D191" s="63"/>
      <c r="E191" s="63"/>
      <c r="F191" s="63"/>
      <c r="G191" s="63"/>
      <c r="H191" s="63"/>
      <c r="I191" s="63"/>
      <c r="J191" s="63"/>
      <c r="N191" s="69"/>
    </row>
    <row r="192" spans="4:14" ht="15.75" customHeight="1">
      <c r="D192" s="63"/>
      <c r="E192" s="63"/>
      <c r="F192" s="63"/>
      <c r="G192" s="63"/>
      <c r="H192" s="63"/>
      <c r="I192" s="63"/>
      <c r="J192" s="63"/>
      <c r="N192" s="69"/>
    </row>
    <row r="193" spans="4:14" ht="15.75" customHeight="1">
      <c r="D193" s="63"/>
      <c r="E193" s="63"/>
      <c r="F193" s="63"/>
      <c r="G193" s="63"/>
      <c r="H193" s="63"/>
      <c r="I193" s="63"/>
      <c r="J193" s="63"/>
      <c r="N193" s="69"/>
    </row>
    <row r="194" spans="4:14" ht="15.75" customHeight="1">
      <c r="D194" s="63"/>
      <c r="E194" s="63"/>
      <c r="F194" s="63"/>
      <c r="G194" s="63"/>
      <c r="H194" s="63"/>
      <c r="I194" s="63"/>
      <c r="J194" s="63"/>
      <c r="N194" s="69"/>
    </row>
    <row r="195" spans="4:14" ht="15.75" customHeight="1">
      <c r="D195" s="63"/>
      <c r="E195" s="63"/>
      <c r="F195" s="63"/>
      <c r="G195" s="63"/>
      <c r="H195" s="63"/>
      <c r="I195" s="63"/>
      <c r="J195" s="63"/>
      <c r="N195" s="69"/>
    </row>
    <row r="196" spans="4:14" ht="15.75" customHeight="1">
      <c r="D196" s="63"/>
      <c r="E196" s="63"/>
      <c r="F196" s="63"/>
      <c r="G196" s="63"/>
      <c r="H196" s="63"/>
      <c r="I196" s="63"/>
      <c r="J196" s="63"/>
      <c r="N196" s="69"/>
    </row>
    <row r="197" spans="4:14" ht="15.75" customHeight="1">
      <c r="D197" s="63"/>
      <c r="E197" s="63"/>
      <c r="F197" s="63"/>
      <c r="G197" s="63"/>
      <c r="H197" s="63"/>
      <c r="I197" s="63"/>
      <c r="J197" s="63"/>
      <c r="N197" s="69"/>
    </row>
    <row r="198" spans="4:14" ht="15.75" customHeight="1">
      <c r="D198" s="63"/>
      <c r="E198" s="63"/>
      <c r="F198" s="63"/>
      <c r="G198" s="63"/>
      <c r="H198" s="63"/>
      <c r="I198" s="63"/>
      <c r="J198" s="63"/>
      <c r="N198" s="69"/>
    </row>
    <row r="199" spans="4:14" ht="15.75" customHeight="1">
      <c r="D199" s="63"/>
      <c r="E199" s="63"/>
      <c r="F199" s="63"/>
      <c r="G199" s="63"/>
      <c r="H199" s="63"/>
      <c r="I199" s="63"/>
      <c r="J199" s="63"/>
      <c r="N199" s="69"/>
    </row>
    <row r="200" spans="4:14" ht="15.75" customHeight="1">
      <c r="D200" s="63"/>
      <c r="E200" s="63"/>
      <c r="F200" s="63"/>
      <c r="G200" s="63"/>
      <c r="H200" s="63"/>
      <c r="I200" s="63"/>
      <c r="J200" s="63"/>
      <c r="N200" s="69"/>
    </row>
    <row r="201" spans="4:14" ht="15.75" customHeight="1">
      <c r="D201" s="63"/>
      <c r="E201" s="63"/>
      <c r="F201" s="63"/>
      <c r="G201" s="63"/>
      <c r="H201" s="63"/>
      <c r="I201" s="63"/>
      <c r="J201" s="63"/>
      <c r="N201" s="69"/>
    </row>
    <row r="202" spans="4:14" ht="15.75" customHeight="1">
      <c r="D202" s="63"/>
      <c r="E202" s="63"/>
      <c r="F202" s="63"/>
      <c r="G202" s="63"/>
      <c r="H202" s="63"/>
      <c r="I202" s="63"/>
      <c r="J202" s="63"/>
      <c r="N202" s="69"/>
    </row>
    <row r="203" spans="4:14" ht="15.75" customHeight="1">
      <c r="D203" s="63"/>
      <c r="E203" s="63"/>
      <c r="F203" s="63"/>
      <c r="G203" s="63"/>
      <c r="H203" s="63"/>
      <c r="I203" s="63"/>
      <c r="J203" s="63"/>
      <c r="N203" s="69"/>
    </row>
    <row r="204" spans="4:14" ht="15.75" customHeight="1">
      <c r="D204" s="63"/>
      <c r="E204" s="63"/>
      <c r="F204" s="63"/>
      <c r="G204" s="63"/>
      <c r="H204" s="63"/>
      <c r="I204" s="63"/>
      <c r="J204" s="63"/>
      <c r="N204" s="69"/>
    </row>
    <row r="205" spans="4:14" ht="15.75" customHeight="1">
      <c r="D205" s="63"/>
      <c r="E205" s="63"/>
      <c r="F205" s="63"/>
      <c r="G205" s="63"/>
      <c r="H205" s="63"/>
      <c r="I205" s="63"/>
      <c r="J205" s="63"/>
      <c r="N205" s="69"/>
    </row>
    <row r="206" spans="4:14" ht="15.75" customHeight="1">
      <c r="D206" s="63"/>
      <c r="E206" s="63"/>
      <c r="F206" s="63"/>
      <c r="G206" s="63"/>
      <c r="H206" s="63"/>
      <c r="I206" s="63"/>
      <c r="J206" s="63"/>
      <c r="N206" s="69"/>
    </row>
    <row r="207" spans="4:14" ht="15.75" customHeight="1">
      <c r="D207" s="63"/>
      <c r="E207" s="63"/>
      <c r="F207" s="63"/>
      <c r="G207" s="63"/>
      <c r="H207" s="63"/>
      <c r="I207" s="63"/>
      <c r="J207" s="63"/>
      <c r="N207" s="69"/>
    </row>
    <row r="208" spans="4:14" ht="15.75" customHeight="1">
      <c r="D208" s="63"/>
      <c r="E208" s="63"/>
      <c r="F208" s="63"/>
      <c r="G208" s="63"/>
      <c r="H208" s="63"/>
      <c r="I208" s="63"/>
      <c r="J208" s="63"/>
      <c r="N208" s="69"/>
    </row>
    <row r="209" spans="4:14" ht="15.75" customHeight="1">
      <c r="D209" s="63"/>
      <c r="E209" s="63"/>
      <c r="F209" s="63"/>
      <c r="G209" s="63"/>
      <c r="H209" s="63"/>
      <c r="I209" s="63"/>
      <c r="J209" s="63"/>
      <c r="N209" s="69"/>
    </row>
    <row r="210" spans="4:14" ht="15.75" customHeight="1">
      <c r="D210" s="63"/>
      <c r="E210" s="63"/>
      <c r="F210" s="63"/>
      <c r="G210" s="63"/>
      <c r="H210" s="63"/>
      <c r="I210" s="63"/>
      <c r="J210" s="63"/>
      <c r="N210" s="69"/>
    </row>
    <row r="211" spans="4:14" ht="15.75" customHeight="1">
      <c r="D211" s="63"/>
      <c r="E211" s="63"/>
      <c r="F211" s="63"/>
      <c r="G211" s="63"/>
      <c r="H211" s="63"/>
      <c r="I211" s="63"/>
      <c r="J211" s="63"/>
      <c r="N211" s="69"/>
    </row>
    <row r="212" spans="4:14" ht="15.75" customHeight="1">
      <c r="D212" s="63"/>
      <c r="E212" s="63"/>
      <c r="F212" s="63"/>
      <c r="G212" s="63"/>
      <c r="H212" s="63"/>
      <c r="I212" s="63"/>
      <c r="J212" s="63"/>
      <c r="N212" s="69"/>
    </row>
    <row r="213" spans="4:14" ht="15.75" customHeight="1">
      <c r="D213" s="63"/>
      <c r="E213" s="63"/>
      <c r="F213" s="63"/>
      <c r="G213" s="63"/>
      <c r="H213" s="63"/>
      <c r="I213" s="63"/>
      <c r="J213" s="63"/>
      <c r="N213" s="69"/>
    </row>
    <row r="214" spans="4:14" ht="15.75" customHeight="1">
      <c r="D214" s="63"/>
      <c r="E214" s="63"/>
      <c r="F214" s="63"/>
      <c r="G214" s="63"/>
      <c r="H214" s="63"/>
      <c r="I214" s="63"/>
      <c r="J214" s="63"/>
      <c r="N214" s="69"/>
    </row>
    <row r="215" spans="4:14" ht="15.75" customHeight="1">
      <c r="D215" s="63"/>
      <c r="E215" s="63"/>
      <c r="F215" s="63"/>
      <c r="G215" s="63"/>
      <c r="H215" s="63"/>
      <c r="I215" s="63"/>
      <c r="J215" s="63"/>
      <c r="N215" s="69"/>
    </row>
    <row r="216" spans="4:14" ht="15.75" customHeight="1">
      <c r="D216" s="63"/>
      <c r="E216" s="63"/>
      <c r="F216" s="63"/>
      <c r="G216" s="63"/>
      <c r="H216" s="63"/>
      <c r="I216" s="63"/>
      <c r="J216" s="63"/>
      <c r="N216" s="69"/>
    </row>
    <row r="217" spans="4:14" ht="15.75" customHeight="1">
      <c r="D217" s="63"/>
      <c r="E217" s="63"/>
      <c r="F217" s="63"/>
      <c r="G217" s="63"/>
      <c r="H217" s="63"/>
      <c r="I217" s="63"/>
      <c r="J217" s="63"/>
      <c r="N217" s="69"/>
    </row>
    <row r="218" spans="4:14" ht="15.75" customHeight="1">
      <c r="D218" s="63"/>
      <c r="E218" s="63"/>
      <c r="F218" s="63"/>
      <c r="G218" s="63"/>
      <c r="H218" s="63"/>
      <c r="I218" s="63"/>
      <c r="J218" s="63"/>
      <c r="N218" s="69"/>
    </row>
    <row r="219" spans="4:14" ht="15.75" customHeight="1">
      <c r="D219" s="63"/>
      <c r="E219" s="63"/>
      <c r="F219" s="63"/>
      <c r="G219" s="63"/>
      <c r="H219" s="63"/>
      <c r="I219" s="63"/>
      <c r="J219" s="63"/>
      <c r="N219" s="69"/>
    </row>
    <row r="220" spans="4:14" ht="15.75" customHeight="1">
      <c r="D220" s="63"/>
      <c r="E220" s="63"/>
      <c r="F220" s="63"/>
      <c r="G220" s="63"/>
      <c r="H220" s="63"/>
      <c r="I220" s="63"/>
      <c r="J220" s="63"/>
      <c r="N220" s="69"/>
    </row>
    <row r="221" spans="4:14" ht="15.75" customHeight="1">
      <c r="D221" s="63"/>
      <c r="E221" s="63"/>
      <c r="F221" s="63"/>
      <c r="G221" s="63"/>
      <c r="H221" s="63"/>
      <c r="I221" s="63"/>
      <c r="J221" s="63"/>
      <c r="N221" s="69"/>
    </row>
    <row r="222" spans="4:14" ht="15.75" customHeight="1">
      <c r="D222" s="63"/>
      <c r="E222" s="63"/>
      <c r="F222" s="63"/>
      <c r="G222" s="63"/>
      <c r="H222" s="63"/>
      <c r="I222" s="63"/>
      <c r="J222" s="63"/>
      <c r="N222" s="69"/>
    </row>
    <row r="223" spans="4:14" ht="15.75" customHeight="1">
      <c r="D223" s="63"/>
      <c r="E223" s="63"/>
      <c r="F223" s="63"/>
      <c r="G223" s="63"/>
      <c r="H223" s="63"/>
      <c r="I223" s="63"/>
      <c r="J223" s="63"/>
      <c r="N223" s="69"/>
    </row>
    <row r="224" spans="4:14" ht="15.75" customHeight="1">
      <c r="D224" s="63"/>
      <c r="E224" s="63"/>
      <c r="F224" s="63"/>
      <c r="G224" s="63"/>
      <c r="H224" s="63"/>
      <c r="I224" s="63"/>
      <c r="J224" s="63"/>
      <c r="N224" s="69"/>
    </row>
    <row r="225" spans="4:14" ht="15.75" customHeight="1">
      <c r="D225" s="63"/>
      <c r="E225" s="63"/>
      <c r="F225" s="63"/>
      <c r="G225" s="63"/>
      <c r="H225" s="63"/>
      <c r="I225" s="63"/>
      <c r="J225" s="63"/>
      <c r="N225" s="69"/>
    </row>
    <row r="226" spans="4:14" ht="15.75" customHeight="1">
      <c r="D226" s="63"/>
      <c r="E226" s="63"/>
      <c r="F226" s="63"/>
      <c r="G226" s="63"/>
      <c r="H226" s="63"/>
      <c r="I226" s="63"/>
      <c r="J226" s="63"/>
      <c r="N226" s="69"/>
    </row>
    <row r="227" spans="4:14" ht="15.75" customHeight="1">
      <c r="D227" s="63"/>
      <c r="E227" s="63"/>
      <c r="F227" s="63"/>
      <c r="G227" s="63"/>
      <c r="H227" s="63"/>
      <c r="I227" s="63"/>
      <c r="J227" s="63"/>
      <c r="N227" s="69"/>
    </row>
    <row r="228" spans="4:14" ht="15.75" customHeight="1">
      <c r="D228" s="63"/>
      <c r="E228" s="63"/>
      <c r="F228" s="63"/>
      <c r="G228" s="63"/>
      <c r="H228" s="63"/>
      <c r="I228" s="63"/>
      <c r="J228" s="63"/>
      <c r="N228" s="69"/>
    </row>
    <row r="229" spans="4:14" ht="15.75" customHeight="1">
      <c r="D229" s="63"/>
      <c r="E229" s="63"/>
      <c r="F229" s="63"/>
      <c r="G229" s="63"/>
      <c r="H229" s="63"/>
      <c r="I229" s="63"/>
      <c r="J229" s="63"/>
      <c r="N229" s="69"/>
    </row>
    <row r="230" spans="4:14" ht="15.75" customHeight="1">
      <c r="D230" s="63"/>
      <c r="E230" s="63"/>
      <c r="F230" s="63"/>
      <c r="G230" s="63"/>
      <c r="H230" s="63"/>
      <c r="I230" s="63"/>
      <c r="J230" s="63"/>
      <c r="N230" s="69"/>
    </row>
    <row r="231" spans="4:14" ht="15.75" customHeight="1">
      <c r="D231" s="63"/>
      <c r="E231" s="63"/>
      <c r="F231" s="63"/>
      <c r="G231" s="63"/>
      <c r="H231" s="63"/>
      <c r="I231" s="63"/>
      <c r="J231" s="63"/>
      <c r="N231" s="69"/>
    </row>
    <row r="232" spans="4:14" ht="15.75" customHeight="1">
      <c r="D232" s="63"/>
      <c r="E232" s="63"/>
      <c r="F232" s="63"/>
      <c r="G232" s="63"/>
      <c r="H232" s="63"/>
      <c r="I232" s="63"/>
      <c r="J232" s="63"/>
      <c r="N232" s="69"/>
    </row>
    <row r="233" spans="4:14" ht="15.75" customHeight="1">
      <c r="D233" s="63"/>
      <c r="E233" s="63"/>
      <c r="F233" s="63"/>
      <c r="G233" s="63"/>
      <c r="H233" s="63"/>
      <c r="I233" s="63"/>
      <c r="J233" s="63"/>
      <c r="N233" s="69"/>
    </row>
    <row r="234" spans="4:14" ht="15.75" customHeight="1">
      <c r="D234" s="63"/>
      <c r="E234" s="63"/>
      <c r="F234" s="63"/>
      <c r="G234" s="63"/>
      <c r="H234" s="63"/>
      <c r="I234" s="63"/>
      <c r="J234" s="63"/>
      <c r="N234" s="69"/>
    </row>
    <row r="235" spans="4:14" ht="15.75" customHeight="1">
      <c r="D235" s="63"/>
      <c r="E235" s="63"/>
      <c r="F235" s="63"/>
      <c r="G235" s="63"/>
      <c r="H235" s="63"/>
      <c r="I235" s="63"/>
      <c r="J235" s="63"/>
      <c r="N235" s="69"/>
    </row>
    <row r="236" spans="4:14" ht="15.75" customHeight="1">
      <c r="D236" s="63"/>
      <c r="E236" s="63"/>
      <c r="F236" s="63"/>
      <c r="G236" s="63"/>
      <c r="H236" s="63"/>
      <c r="I236" s="63"/>
      <c r="J236" s="63"/>
      <c r="N236" s="69"/>
    </row>
    <row r="237" spans="4:14" ht="15.75" customHeight="1">
      <c r="D237" s="63"/>
      <c r="E237" s="63"/>
      <c r="F237" s="63"/>
      <c r="G237" s="63"/>
      <c r="H237" s="63"/>
      <c r="I237" s="63"/>
      <c r="J237" s="63"/>
      <c r="N237" s="69"/>
    </row>
    <row r="238" spans="4:14" ht="15.75" customHeight="1">
      <c r="D238" s="63"/>
      <c r="E238" s="63"/>
      <c r="F238" s="63"/>
      <c r="G238" s="63"/>
      <c r="H238" s="63"/>
      <c r="I238" s="63"/>
      <c r="J238" s="63"/>
      <c r="N238" s="69"/>
    </row>
    <row r="239" spans="4:14" ht="15.75" customHeight="1">
      <c r="D239" s="63"/>
      <c r="E239" s="63"/>
      <c r="F239" s="63"/>
      <c r="G239" s="63"/>
      <c r="H239" s="63"/>
      <c r="I239" s="63"/>
      <c r="J239" s="63"/>
      <c r="N239" s="69"/>
    </row>
    <row r="240" spans="4:14" ht="15.75" customHeight="1">
      <c r="D240" s="63"/>
      <c r="E240" s="63"/>
      <c r="F240" s="63"/>
      <c r="G240" s="63"/>
      <c r="H240" s="63"/>
      <c r="I240" s="63"/>
      <c r="J240" s="63"/>
      <c r="N240" s="69"/>
    </row>
    <row r="241" spans="4:14" ht="15.75" customHeight="1">
      <c r="D241" s="63"/>
      <c r="E241" s="63"/>
      <c r="F241" s="63"/>
      <c r="G241" s="63"/>
      <c r="H241" s="63"/>
      <c r="I241" s="63"/>
      <c r="J241" s="63"/>
      <c r="N241" s="69"/>
    </row>
    <row r="242" spans="4:14" ht="15.75" customHeight="1">
      <c r="D242" s="63"/>
      <c r="E242" s="63"/>
      <c r="F242" s="63"/>
      <c r="G242" s="63"/>
      <c r="H242" s="63"/>
      <c r="I242" s="63"/>
      <c r="J242" s="63"/>
      <c r="N242" s="69"/>
    </row>
    <row r="243" spans="4:14" ht="15.75" customHeight="1">
      <c r="D243" s="63"/>
      <c r="E243" s="63"/>
      <c r="F243" s="63"/>
      <c r="G243" s="63"/>
      <c r="H243" s="63"/>
      <c r="I243" s="63"/>
      <c r="J243" s="63"/>
      <c r="N243" s="69"/>
    </row>
    <row r="244" spans="4:14" ht="15.75" customHeight="1">
      <c r="D244" s="63"/>
      <c r="E244" s="63"/>
      <c r="F244" s="63"/>
      <c r="G244" s="63"/>
      <c r="H244" s="63"/>
      <c r="I244" s="63"/>
      <c r="J244" s="63"/>
      <c r="N244" s="69"/>
    </row>
    <row r="245" spans="4:14" ht="15.75" customHeight="1">
      <c r="D245" s="63"/>
      <c r="E245" s="63"/>
      <c r="F245" s="63"/>
      <c r="G245" s="63"/>
      <c r="H245" s="63"/>
      <c r="I245" s="63"/>
      <c r="J245" s="63"/>
      <c r="N245" s="69"/>
    </row>
    <row r="246" spans="4:14" ht="15.75" customHeight="1">
      <c r="D246" s="63"/>
      <c r="E246" s="63"/>
      <c r="F246" s="63"/>
      <c r="G246" s="63"/>
      <c r="H246" s="63"/>
      <c r="I246" s="63"/>
      <c r="J246" s="63"/>
      <c r="N246" s="69"/>
    </row>
    <row r="247" spans="4:14" ht="15.75" customHeight="1">
      <c r="D247" s="63"/>
      <c r="E247" s="63"/>
      <c r="F247" s="63"/>
      <c r="G247" s="63"/>
      <c r="H247" s="63"/>
      <c r="I247" s="63"/>
      <c r="J247" s="63"/>
      <c r="N247" s="69"/>
    </row>
    <row r="248" spans="4:14" ht="15.75" customHeight="1">
      <c r="D248" s="63"/>
      <c r="E248" s="63"/>
      <c r="F248" s="63"/>
      <c r="G248" s="63"/>
      <c r="H248" s="63"/>
      <c r="I248" s="63"/>
      <c r="J248" s="63"/>
      <c r="N248" s="69"/>
    </row>
    <row r="249" spans="4:14" ht="15.75" customHeight="1">
      <c r="D249" s="63"/>
      <c r="E249" s="63"/>
      <c r="F249" s="63"/>
      <c r="G249" s="63"/>
      <c r="H249" s="63"/>
      <c r="I249" s="63"/>
      <c r="J249" s="63"/>
      <c r="N249" s="69"/>
    </row>
    <row r="250" spans="4:14" ht="15.75" customHeight="1">
      <c r="D250" s="63"/>
      <c r="E250" s="63"/>
      <c r="F250" s="63"/>
      <c r="G250" s="63"/>
      <c r="H250" s="63"/>
      <c r="I250" s="63"/>
      <c r="J250" s="63"/>
      <c r="N250" s="69"/>
    </row>
    <row r="251" spans="4:14" ht="15.75" customHeight="1">
      <c r="D251" s="63"/>
      <c r="E251" s="63"/>
      <c r="F251" s="63"/>
      <c r="G251" s="63"/>
      <c r="H251" s="63"/>
      <c r="I251" s="63"/>
      <c r="J251" s="63"/>
      <c r="N251" s="69"/>
    </row>
    <row r="252" spans="4:14" ht="15.75" customHeight="1">
      <c r="D252" s="63"/>
      <c r="E252" s="63"/>
      <c r="F252" s="63"/>
      <c r="G252" s="63"/>
      <c r="H252" s="63"/>
      <c r="I252" s="63"/>
      <c r="J252" s="63"/>
      <c r="N252" s="69"/>
    </row>
    <row r="253" spans="4:14" ht="15.75" customHeight="1">
      <c r="D253" s="63"/>
      <c r="E253" s="63"/>
      <c r="F253" s="63"/>
      <c r="G253" s="63"/>
      <c r="H253" s="63"/>
      <c r="I253" s="63"/>
      <c r="J253" s="63"/>
      <c r="N253" s="69"/>
    </row>
    <row r="254" spans="4:14" ht="15.75" customHeight="1">
      <c r="D254" s="63"/>
      <c r="E254" s="63"/>
      <c r="F254" s="63"/>
      <c r="G254" s="63"/>
      <c r="H254" s="63"/>
      <c r="I254" s="63"/>
      <c r="J254" s="63"/>
      <c r="N254" s="69"/>
    </row>
    <row r="255" spans="4:14" ht="15.75" customHeight="1">
      <c r="D255" s="63"/>
      <c r="E255" s="63"/>
      <c r="F255" s="63"/>
      <c r="G255" s="63"/>
      <c r="H255" s="63"/>
      <c r="I255" s="63"/>
      <c r="J255" s="63"/>
      <c r="N255" s="69"/>
    </row>
    <row r="256" spans="4:14" ht="15.75" customHeight="1">
      <c r="D256" s="63"/>
      <c r="E256" s="63"/>
      <c r="F256" s="63"/>
      <c r="G256" s="63"/>
      <c r="H256" s="63"/>
      <c r="I256" s="63"/>
      <c r="J256" s="63"/>
      <c r="N256" s="69"/>
    </row>
    <row r="257" spans="4:14" ht="15.75" customHeight="1">
      <c r="D257" s="63"/>
      <c r="E257" s="63"/>
      <c r="F257" s="63"/>
      <c r="G257" s="63"/>
      <c r="H257" s="63"/>
      <c r="I257" s="63"/>
      <c r="J257" s="63"/>
      <c r="N257" s="69"/>
    </row>
    <row r="258" spans="4:14" ht="15.75" customHeight="1">
      <c r="D258" s="63"/>
      <c r="E258" s="63"/>
      <c r="F258" s="63"/>
      <c r="G258" s="63"/>
      <c r="H258" s="63"/>
      <c r="I258" s="63"/>
      <c r="J258" s="63"/>
      <c r="N258" s="69"/>
    </row>
    <row r="259" spans="4:14" ht="15.75" customHeight="1">
      <c r="D259" s="63"/>
      <c r="E259" s="63"/>
      <c r="F259" s="63"/>
      <c r="G259" s="63"/>
      <c r="H259" s="63"/>
      <c r="I259" s="63"/>
      <c r="J259" s="63"/>
      <c r="N259" s="69"/>
    </row>
    <row r="260" spans="4:14" ht="15.75" customHeight="1">
      <c r="D260" s="63"/>
      <c r="E260" s="63"/>
      <c r="F260" s="63"/>
      <c r="G260" s="63"/>
      <c r="H260" s="63"/>
      <c r="I260" s="63"/>
      <c r="J260" s="63"/>
      <c r="N260" s="69"/>
    </row>
    <row r="261" spans="4:14" ht="15.75" customHeight="1">
      <c r="D261" s="63"/>
      <c r="E261" s="63"/>
      <c r="F261" s="63"/>
      <c r="G261" s="63"/>
      <c r="H261" s="63"/>
      <c r="I261" s="63"/>
      <c r="J261" s="63"/>
      <c r="N261" s="69"/>
    </row>
    <row r="262" spans="4:14" ht="15.75" customHeight="1">
      <c r="D262" s="63"/>
      <c r="E262" s="63"/>
      <c r="F262" s="63"/>
      <c r="G262" s="63"/>
      <c r="H262" s="63"/>
      <c r="I262" s="63"/>
      <c r="J262" s="63"/>
      <c r="N262" s="69"/>
    </row>
    <row r="263" spans="4:14" ht="15.75" customHeight="1">
      <c r="D263" s="63"/>
      <c r="E263" s="63"/>
      <c r="F263" s="63"/>
      <c r="G263" s="63"/>
      <c r="H263" s="63"/>
      <c r="I263" s="63"/>
      <c r="J263" s="63"/>
      <c r="N263" s="69"/>
    </row>
    <row r="264" spans="4:14" ht="15.75" customHeight="1">
      <c r="D264" s="63"/>
      <c r="E264" s="63"/>
      <c r="F264" s="63"/>
      <c r="G264" s="63"/>
      <c r="H264" s="63"/>
      <c r="I264" s="63"/>
      <c r="J264" s="63"/>
      <c r="N264" s="69"/>
    </row>
    <row r="265" spans="4:14" ht="15.75" customHeight="1">
      <c r="D265" s="63"/>
      <c r="E265" s="63"/>
      <c r="F265" s="63"/>
      <c r="G265" s="63"/>
      <c r="H265" s="63"/>
      <c r="I265" s="63"/>
      <c r="J265" s="63"/>
      <c r="N265" s="69"/>
    </row>
    <row r="266" spans="4:14" ht="15.75" customHeight="1">
      <c r="D266" s="63"/>
      <c r="E266" s="63"/>
      <c r="F266" s="63"/>
      <c r="G266" s="63"/>
      <c r="H266" s="63"/>
      <c r="I266" s="63"/>
      <c r="J266" s="63"/>
      <c r="N266" s="69"/>
    </row>
    <row r="267" spans="4:14" ht="15.75" customHeight="1">
      <c r="D267" s="63"/>
      <c r="E267" s="63"/>
      <c r="F267" s="63"/>
      <c r="G267" s="63"/>
      <c r="H267" s="63"/>
      <c r="I267" s="63"/>
      <c r="J267" s="63"/>
      <c r="N267" s="69"/>
    </row>
    <row r="268" spans="4:14" ht="15.75" customHeight="1">
      <c r="D268" s="63"/>
      <c r="E268" s="63"/>
      <c r="F268" s="63"/>
      <c r="G268" s="63"/>
      <c r="H268" s="63"/>
      <c r="I268" s="63"/>
      <c r="J268" s="63"/>
      <c r="N268" s="69"/>
    </row>
    <row r="269" spans="4:14" ht="15.75" customHeight="1">
      <c r="D269" s="63"/>
      <c r="E269" s="63"/>
      <c r="F269" s="63"/>
      <c r="G269" s="63"/>
      <c r="H269" s="63"/>
      <c r="I269" s="63"/>
      <c r="J269" s="63"/>
      <c r="N269" s="69"/>
    </row>
    <row r="270" spans="4:14" ht="15.75" customHeight="1">
      <c r="D270" s="63"/>
      <c r="E270" s="63"/>
      <c r="F270" s="63"/>
      <c r="G270" s="63"/>
      <c r="H270" s="63"/>
      <c r="I270" s="63"/>
      <c r="J270" s="63"/>
      <c r="N270" s="69"/>
    </row>
    <row r="271" spans="4:14" ht="15.75" customHeight="1">
      <c r="D271" s="63"/>
      <c r="E271" s="63"/>
      <c r="F271" s="63"/>
      <c r="G271" s="63"/>
      <c r="H271" s="63"/>
      <c r="I271" s="63"/>
      <c r="J271" s="63"/>
      <c r="N271" s="69"/>
    </row>
    <row r="272" spans="4:14" ht="15.75" customHeight="1">
      <c r="D272" s="63"/>
      <c r="E272" s="63"/>
      <c r="F272" s="63"/>
      <c r="G272" s="63"/>
      <c r="H272" s="63"/>
      <c r="I272" s="63"/>
      <c r="J272" s="63"/>
      <c r="N272" s="69"/>
    </row>
    <row r="273" spans="4:14" ht="15.75" customHeight="1">
      <c r="D273" s="63"/>
      <c r="E273" s="63"/>
      <c r="F273" s="63"/>
      <c r="G273" s="63"/>
      <c r="H273" s="63"/>
      <c r="I273" s="63"/>
      <c r="J273" s="63"/>
      <c r="N273" s="69"/>
    </row>
    <row r="274" spans="4:14" ht="15.75" customHeight="1">
      <c r="D274" s="63"/>
      <c r="E274" s="63"/>
      <c r="F274" s="63"/>
      <c r="G274" s="63"/>
      <c r="H274" s="63"/>
      <c r="I274" s="63"/>
      <c r="J274" s="63"/>
      <c r="N274" s="69"/>
    </row>
    <row r="275" spans="4:14" ht="15.75" customHeight="1">
      <c r="D275" s="63"/>
      <c r="E275" s="63"/>
      <c r="F275" s="63"/>
      <c r="G275" s="63"/>
      <c r="H275" s="63"/>
      <c r="I275" s="63"/>
      <c r="J275" s="63"/>
      <c r="N275" s="69"/>
    </row>
    <row r="276" spans="4:14" ht="15.75" customHeight="1">
      <c r="D276" s="63"/>
      <c r="E276" s="63"/>
      <c r="F276" s="63"/>
      <c r="G276" s="63"/>
      <c r="H276" s="63"/>
      <c r="I276" s="63"/>
      <c r="J276" s="63"/>
      <c r="N276" s="69"/>
    </row>
    <row r="277" spans="4:14" ht="15.75" customHeight="1">
      <c r="D277" s="63"/>
      <c r="E277" s="63"/>
      <c r="F277" s="63"/>
      <c r="G277" s="63"/>
      <c r="H277" s="63"/>
      <c r="I277" s="63"/>
      <c r="J277" s="63"/>
      <c r="N277" s="69"/>
    </row>
    <row r="278" spans="4:14" ht="15.75" customHeight="1">
      <c r="D278" s="63"/>
      <c r="E278" s="63"/>
      <c r="F278" s="63"/>
      <c r="G278" s="63"/>
      <c r="H278" s="63"/>
      <c r="I278" s="63"/>
      <c r="J278" s="63"/>
      <c r="N278" s="69"/>
    </row>
    <row r="279" spans="4:14" ht="15.75" customHeight="1">
      <c r="D279" s="63"/>
      <c r="E279" s="63"/>
      <c r="F279" s="63"/>
      <c r="G279" s="63"/>
      <c r="H279" s="63"/>
      <c r="I279" s="63"/>
      <c r="J279" s="63"/>
      <c r="N279" s="69"/>
    </row>
    <row r="280" spans="4:14" ht="15.75" customHeight="1">
      <c r="D280" s="63"/>
      <c r="E280" s="63"/>
      <c r="F280" s="63"/>
      <c r="G280" s="63"/>
      <c r="H280" s="63"/>
      <c r="I280" s="63"/>
      <c r="J280" s="63"/>
      <c r="N280" s="69"/>
    </row>
    <row r="281" spans="4:14" ht="15.75" customHeight="1">
      <c r="D281" s="63"/>
      <c r="E281" s="63"/>
      <c r="F281" s="63"/>
      <c r="G281" s="63"/>
      <c r="H281" s="63"/>
      <c r="I281" s="63"/>
      <c r="J281" s="63"/>
      <c r="N281" s="69"/>
    </row>
    <row r="282" spans="4:14" ht="15.75" customHeight="1">
      <c r="D282" s="63"/>
      <c r="E282" s="63"/>
      <c r="F282" s="63"/>
      <c r="G282" s="63"/>
      <c r="H282" s="63"/>
      <c r="I282" s="63"/>
      <c r="J282" s="63"/>
      <c r="N282" s="69"/>
    </row>
    <row r="283" spans="4:14" ht="15.75" customHeight="1">
      <c r="D283" s="63"/>
      <c r="E283" s="63"/>
      <c r="F283" s="63"/>
      <c r="G283" s="63"/>
      <c r="H283" s="63"/>
      <c r="I283" s="63"/>
      <c r="J283" s="63"/>
      <c r="N283" s="69"/>
    </row>
    <row r="284" spans="4:14" ht="15.75" customHeight="1">
      <c r="D284" s="63"/>
      <c r="E284" s="63"/>
      <c r="F284" s="63"/>
      <c r="G284" s="63"/>
      <c r="H284" s="63"/>
      <c r="I284" s="63"/>
      <c r="J284" s="63"/>
      <c r="N284" s="69"/>
    </row>
    <row r="285" spans="4:14" ht="15.75" customHeight="1">
      <c r="D285" s="63"/>
      <c r="E285" s="63"/>
      <c r="F285" s="63"/>
      <c r="G285" s="63"/>
      <c r="H285" s="63"/>
      <c r="I285" s="63"/>
      <c r="J285" s="63"/>
      <c r="N285" s="69"/>
    </row>
    <row r="286" spans="4:14" ht="15.75" customHeight="1">
      <c r="D286" s="63"/>
      <c r="E286" s="63"/>
      <c r="F286" s="63"/>
      <c r="G286" s="63"/>
      <c r="H286" s="63"/>
      <c r="I286" s="63"/>
      <c r="J286" s="63"/>
      <c r="N286" s="69"/>
    </row>
    <row r="287" spans="4:14" ht="15.75" customHeight="1">
      <c r="D287" s="63"/>
      <c r="E287" s="63"/>
      <c r="F287" s="63"/>
      <c r="G287" s="63"/>
      <c r="H287" s="63"/>
      <c r="I287" s="63"/>
      <c r="J287" s="63"/>
      <c r="N287" s="69"/>
    </row>
    <row r="288" spans="4:14" ht="15.75" customHeight="1">
      <c r="D288" s="63"/>
      <c r="E288" s="63"/>
      <c r="F288" s="63"/>
      <c r="G288" s="63"/>
      <c r="H288" s="63"/>
      <c r="I288" s="63"/>
      <c r="J288" s="63"/>
      <c r="N288" s="69"/>
    </row>
    <row r="289" spans="4:14" ht="15.75" customHeight="1">
      <c r="D289" s="63"/>
      <c r="E289" s="63"/>
      <c r="F289" s="63"/>
      <c r="G289" s="63"/>
      <c r="H289" s="63"/>
      <c r="I289" s="63"/>
      <c r="J289" s="63"/>
      <c r="N289" s="69"/>
    </row>
    <row r="290" spans="4:14" ht="15.75" customHeight="1">
      <c r="D290" s="63"/>
      <c r="E290" s="63"/>
      <c r="F290" s="63"/>
      <c r="G290" s="63"/>
      <c r="H290" s="63"/>
      <c r="I290" s="63"/>
      <c r="J290" s="63"/>
      <c r="N290" s="69"/>
    </row>
    <row r="291" spans="4:14" ht="15.75" customHeight="1">
      <c r="D291" s="63"/>
      <c r="E291" s="63"/>
      <c r="F291" s="63"/>
      <c r="G291" s="63"/>
      <c r="H291" s="63"/>
      <c r="I291" s="63"/>
      <c r="J291" s="63"/>
      <c r="N291" s="69"/>
    </row>
    <row r="292" spans="4:14" ht="15.75" customHeight="1">
      <c r="D292" s="63"/>
      <c r="E292" s="63"/>
      <c r="F292" s="63"/>
      <c r="G292" s="63"/>
      <c r="H292" s="63"/>
      <c r="I292" s="63"/>
      <c r="J292" s="63"/>
      <c r="N292" s="69"/>
    </row>
    <row r="293" spans="4:14" ht="15.75" customHeight="1">
      <c r="D293" s="63"/>
      <c r="E293" s="63"/>
      <c r="F293" s="63"/>
      <c r="G293" s="63"/>
      <c r="H293" s="63"/>
      <c r="I293" s="63"/>
      <c r="J293" s="63"/>
      <c r="N293" s="69"/>
    </row>
    <row r="294" spans="4:14" ht="15.75" customHeight="1">
      <c r="D294" s="63"/>
      <c r="E294" s="63"/>
      <c r="F294" s="63"/>
      <c r="G294" s="63"/>
      <c r="H294" s="63"/>
      <c r="I294" s="63"/>
      <c r="J294" s="63"/>
      <c r="N294" s="69"/>
    </row>
    <row r="295" spans="4:14" ht="15.75" customHeight="1">
      <c r="D295" s="63"/>
      <c r="E295" s="63"/>
      <c r="F295" s="63"/>
      <c r="G295" s="63"/>
      <c r="H295" s="63"/>
      <c r="I295" s="63"/>
      <c r="J295" s="63"/>
      <c r="N295" s="69"/>
    </row>
    <row r="296" spans="4:14" ht="15.75" customHeight="1">
      <c r="D296" s="63"/>
      <c r="E296" s="63"/>
      <c r="F296" s="63"/>
      <c r="G296" s="63"/>
      <c r="H296" s="63"/>
      <c r="I296" s="63"/>
      <c r="J296" s="63"/>
      <c r="N296" s="69"/>
    </row>
    <row r="297" spans="4:14" ht="15.75" customHeight="1">
      <c r="D297" s="63"/>
      <c r="E297" s="63"/>
      <c r="F297" s="63"/>
      <c r="G297" s="63"/>
      <c r="H297" s="63"/>
      <c r="I297" s="63"/>
      <c r="J297" s="63"/>
      <c r="N297" s="69"/>
    </row>
    <row r="298" spans="4:14" ht="15.75" customHeight="1">
      <c r="D298" s="63"/>
      <c r="E298" s="63"/>
      <c r="F298" s="63"/>
      <c r="G298" s="63"/>
      <c r="H298" s="63"/>
      <c r="I298" s="63"/>
      <c r="J298" s="63"/>
      <c r="N298" s="69"/>
    </row>
    <row r="299" spans="4:14" ht="15.75" customHeight="1">
      <c r="D299" s="63"/>
      <c r="E299" s="63"/>
      <c r="F299" s="63"/>
      <c r="G299" s="63"/>
      <c r="H299" s="63"/>
      <c r="I299" s="63"/>
      <c r="J299" s="63"/>
      <c r="N299" s="69"/>
    </row>
    <row r="300" spans="4:14" ht="15.75" customHeight="1">
      <c r="D300" s="63"/>
      <c r="E300" s="63"/>
      <c r="F300" s="63"/>
      <c r="G300" s="63"/>
      <c r="H300" s="63"/>
      <c r="I300" s="63"/>
      <c r="J300" s="63"/>
      <c r="N300" s="69"/>
    </row>
    <row r="301" spans="4:14" ht="15.75" customHeight="1">
      <c r="D301" s="63"/>
      <c r="E301" s="63"/>
      <c r="F301" s="63"/>
      <c r="G301" s="63"/>
      <c r="H301" s="63"/>
      <c r="I301" s="63"/>
      <c r="J301" s="63"/>
      <c r="N301" s="69"/>
    </row>
    <row r="302" spans="4:14" ht="15.75" customHeight="1">
      <c r="D302" s="63"/>
      <c r="E302" s="63"/>
      <c r="F302" s="63"/>
      <c r="G302" s="63"/>
      <c r="H302" s="63"/>
      <c r="I302" s="63"/>
      <c r="J302" s="63"/>
      <c r="N302" s="69"/>
    </row>
    <row r="303" spans="4:14" ht="15.75" customHeight="1">
      <c r="D303" s="63"/>
      <c r="E303" s="63"/>
      <c r="F303" s="63"/>
      <c r="G303" s="63"/>
      <c r="H303" s="63"/>
      <c r="I303" s="63"/>
      <c r="J303" s="63"/>
      <c r="N303" s="69"/>
    </row>
    <row r="304" spans="4:14" ht="15.75" customHeight="1">
      <c r="D304" s="63"/>
      <c r="E304" s="63"/>
      <c r="F304" s="63"/>
      <c r="G304" s="63"/>
      <c r="H304" s="63"/>
      <c r="I304" s="63"/>
      <c r="J304" s="63"/>
      <c r="N304" s="69"/>
    </row>
    <row r="305" spans="4:14" ht="15.75" customHeight="1">
      <c r="D305" s="63"/>
      <c r="E305" s="63"/>
      <c r="F305" s="63"/>
      <c r="G305" s="63"/>
      <c r="H305" s="63"/>
      <c r="I305" s="63"/>
      <c r="J305" s="63"/>
      <c r="N305" s="69"/>
    </row>
    <row r="306" spans="4:14" ht="15.75" customHeight="1">
      <c r="D306" s="63"/>
      <c r="E306" s="63"/>
      <c r="F306" s="63"/>
      <c r="G306" s="63"/>
      <c r="H306" s="63"/>
      <c r="I306" s="63"/>
      <c r="J306" s="63"/>
      <c r="N306" s="69"/>
    </row>
    <row r="307" spans="4:14" ht="15.75" customHeight="1">
      <c r="D307" s="63"/>
      <c r="E307" s="63"/>
      <c r="F307" s="63"/>
      <c r="G307" s="63"/>
      <c r="H307" s="63"/>
      <c r="I307" s="63"/>
      <c r="J307" s="63"/>
      <c r="N307" s="69"/>
    </row>
    <row r="308" spans="4:14" ht="15.75" customHeight="1">
      <c r="D308" s="63"/>
      <c r="E308" s="63"/>
      <c r="F308" s="63"/>
      <c r="G308" s="63"/>
      <c r="H308" s="63"/>
      <c r="I308" s="63"/>
      <c r="J308" s="63"/>
      <c r="N308" s="69"/>
    </row>
    <row r="309" spans="4:14" ht="15.75" customHeight="1">
      <c r="D309" s="63"/>
      <c r="E309" s="63"/>
      <c r="F309" s="63"/>
      <c r="G309" s="63"/>
      <c r="H309" s="63"/>
      <c r="I309" s="63"/>
      <c r="J309" s="63"/>
      <c r="N309" s="69"/>
    </row>
    <row r="310" spans="4:14" ht="15.75" customHeight="1">
      <c r="D310" s="63"/>
      <c r="E310" s="63"/>
      <c r="F310" s="63"/>
      <c r="G310" s="63"/>
      <c r="H310" s="63"/>
      <c r="I310" s="63"/>
      <c r="J310" s="63"/>
      <c r="N310" s="69"/>
    </row>
    <row r="311" spans="4:14" ht="15.75" customHeight="1">
      <c r="D311" s="63"/>
      <c r="E311" s="63"/>
      <c r="F311" s="63"/>
      <c r="G311" s="63"/>
      <c r="H311" s="63"/>
      <c r="I311" s="63"/>
      <c r="J311" s="63"/>
      <c r="N311" s="69"/>
    </row>
    <row r="312" spans="4:14" ht="15.75" customHeight="1">
      <c r="D312" s="63"/>
      <c r="E312" s="63"/>
      <c r="F312" s="63"/>
      <c r="G312" s="63"/>
      <c r="H312" s="63"/>
      <c r="I312" s="63"/>
      <c r="J312" s="63"/>
      <c r="N312" s="69"/>
    </row>
    <row r="313" spans="4:14" ht="15.75" customHeight="1">
      <c r="D313" s="63"/>
      <c r="E313" s="63"/>
      <c r="F313" s="63"/>
      <c r="G313" s="63"/>
      <c r="H313" s="63"/>
      <c r="I313" s="63"/>
      <c r="J313" s="63"/>
      <c r="N313" s="69"/>
    </row>
    <row r="314" spans="4:14" ht="15.75" customHeight="1">
      <c r="D314" s="63"/>
      <c r="E314" s="63"/>
      <c r="F314" s="63"/>
      <c r="G314" s="63"/>
      <c r="H314" s="63"/>
      <c r="I314" s="63"/>
      <c r="J314" s="63"/>
      <c r="N314" s="69"/>
    </row>
    <row r="315" spans="4:14" ht="15.75" customHeight="1">
      <c r="D315" s="63"/>
      <c r="E315" s="63"/>
      <c r="F315" s="63"/>
      <c r="G315" s="63"/>
      <c r="H315" s="63"/>
      <c r="I315" s="63"/>
      <c r="J315" s="63"/>
      <c r="N315" s="69"/>
    </row>
    <row r="316" spans="4:14" ht="15.75" customHeight="1">
      <c r="D316" s="63"/>
      <c r="E316" s="63"/>
      <c r="F316" s="63"/>
      <c r="G316" s="63"/>
      <c r="H316" s="63"/>
      <c r="I316" s="63"/>
      <c r="J316" s="63"/>
      <c r="N316" s="69"/>
    </row>
    <row r="317" spans="4:14" ht="15.75" customHeight="1">
      <c r="D317" s="63"/>
      <c r="E317" s="63"/>
      <c r="F317" s="63"/>
      <c r="G317" s="63"/>
      <c r="H317" s="63"/>
      <c r="I317" s="63"/>
      <c r="J317" s="63"/>
      <c r="N317" s="69"/>
    </row>
    <row r="318" spans="4:14" ht="15.75" customHeight="1">
      <c r="D318" s="63"/>
      <c r="E318" s="63"/>
      <c r="F318" s="63"/>
      <c r="G318" s="63"/>
      <c r="H318" s="63"/>
      <c r="I318" s="63"/>
      <c r="J318" s="63"/>
      <c r="N318" s="69"/>
    </row>
    <row r="319" spans="4:14" ht="15.75" customHeight="1">
      <c r="D319" s="63"/>
      <c r="E319" s="63"/>
      <c r="F319" s="63"/>
      <c r="G319" s="63"/>
      <c r="H319" s="63"/>
      <c r="I319" s="63"/>
      <c r="J319" s="63"/>
      <c r="N319" s="69"/>
    </row>
    <row r="320" spans="4:14" ht="15.75" customHeight="1">
      <c r="D320" s="63"/>
      <c r="E320" s="63"/>
      <c r="F320" s="63"/>
      <c r="G320" s="63"/>
      <c r="H320" s="63"/>
      <c r="I320" s="63"/>
      <c r="J320" s="63"/>
      <c r="N320" s="69"/>
    </row>
    <row r="321" spans="4:14" ht="15.75" customHeight="1">
      <c r="D321" s="63"/>
      <c r="E321" s="63"/>
      <c r="F321" s="63"/>
      <c r="G321" s="63"/>
      <c r="H321" s="63"/>
      <c r="I321" s="63"/>
      <c r="J321" s="63"/>
      <c r="N321" s="69"/>
    </row>
    <row r="322" spans="4:14" ht="15.75" customHeight="1">
      <c r="D322" s="63"/>
      <c r="E322" s="63"/>
      <c r="F322" s="63"/>
      <c r="G322" s="63"/>
      <c r="H322" s="63"/>
      <c r="I322" s="63"/>
      <c r="J322" s="63"/>
      <c r="N322" s="69"/>
    </row>
    <row r="323" spans="4:14" ht="15.75" customHeight="1">
      <c r="D323" s="63"/>
      <c r="E323" s="63"/>
      <c r="F323" s="63"/>
      <c r="G323" s="63"/>
      <c r="H323" s="63"/>
      <c r="I323" s="63"/>
      <c r="J323" s="63"/>
      <c r="N323" s="69"/>
    </row>
    <row r="324" spans="4:14" ht="15.75" customHeight="1">
      <c r="D324" s="63"/>
      <c r="E324" s="63"/>
      <c r="F324" s="63"/>
      <c r="G324" s="63"/>
      <c r="H324" s="63"/>
      <c r="I324" s="63"/>
      <c r="J324" s="63"/>
      <c r="N324" s="69"/>
    </row>
    <row r="325" spans="4:14" ht="15.75" customHeight="1">
      <c r="D325" s="63"/>
      <c r="E325" s="63"/>
      <c r="F325" s="63"/>
      <c r="G325" s="63"/>
      <c r="H325" s="63"/>
      <c r="I325" s="63"/>
      <c r="J325" s="63"/>
      <c r="N325" s="69"/>
    </row>
    <row r="326" spans="4:14" ht="15.75" customHeight="1">
      <c r="D326" s="63"/>
      <c r="E326" s="63"/>
      <c r="F326" s="63"/>
      <c r="G326" s="63"/>
      <c r="H326" s="63"/>
      <c r="I326" s="63"/>
      <c r="J326" s="63"/>
      <c r="N326" s="69"/>
    </row>
    <row r="327" spans="4:14" ht="15.75" customHeight="1">
      <c r="D327" s="63"/>
      <c r="E327" s="63"/>
      <c r="F327" s="63"/>
      <c r="G327" s="63"/>
      <c r="H327" s="63"/>
      <c r="I327" s="63"/>
      <c r="J327" s="63"/>
      <c r="N327" s="69"/>
    </row>
    <row r="328" spans="4:14" ht="15.75" customHeight="1">
      <c r="D328" s="63"/>
      <c r="E328" s="63"/>
      <c r="F328" s="63"/>
      <c r="G328" s="63"/>
      <c r="H328" s="63"/>
      <c r="I328" s="63"/>
      <c r="J328" s="63"/>
      <c r="N328" s="69"/>
    </row>
    <row r="329" spans="4:14" ht="15.75" customHeight="1">
      <c r="D329" s="63"/>
      <c r="E329" s="63"/>
      <c r="F329" s="63"/>
      <c r="G329" s="63"/>
      <c r="H329" s="63"/>
      <c r="I329" s="63"/>
      <c r="J329" s="63"/>
      <c r="N329" s="69"/>
    </row>
    <row r="330" spans="4:14" ht="15.75" customHeight="1">
      <c r="D330" s="63"/>
      <c r="E330" s="63"/>
      <c r="F330" s="63"/>
      <c r="G330" s="63"/>
      <c r="H330" s="63"/>
      <c r="I330" s="63"/>
      <c r="J330" s="63"/>
      <c r="N330" s="69"/>
    </row>
    <row r="331" spans="4:14" ht="15.75" customHeight="1">
      <c r="D331" s="63"/>
      <c r="E331" s="63"/>
      <c r="F331" s="63"/>
      <c r="G331" s="63"/>
      <c r="H331" s="63"/>
      <c r="I331" s="63"/>
      <c r="J331" s="63"/>
      <c r="N331" s="69"/>
    </row>
    <row r="332" spans="4:14" ht="15.75" customHeight="1">
      <c r="D332" s="63"/>
      <c r="E332" s="63"/>
      <c r="F332" s="63"/>
      <c r="G332" s="63"/>
      <c r="H332" s="63"/>
      <c r="I332" s="63"/>
      <c r="J332" s="63"/>
      <c r="N332" s="69"/>
    </row>
    <row r="333" spans="4:14" ht="15.75" customHeight="1">
      <c r="D333" s="63"/>
      <c r="E333" s="63"/>
      <c r="F333" s="63"/>
      <c r="G333" s="63"/>
      <c r="H333" s="63"/>
      <c r="I333" s="63"/>
      <c r="J333" s="63"/>
      <c r="N333" s="69"/>
    </row>
    <row r="334" spans="4:14" ht="15.75" customHeight="1">
      <c r="D334" s="63"/>
      <c r="E334" s="63"/>
      <c r="F334" s="63"/>
      <c r="G334" s="63"/>
      <c r="H334" s="63"/>
      <c r="I334" s="63"/>
      <c r="J334" s="63"/>
      <c r="N334" s="69"/>
    </row>
    <row r="335" spans="4:14" ht="15.75" customHeight="1">
      <c r="D335" s="63"/>
      <c r="E335" s="63"/>
      <c r="F335" s="63"/>
      <c r="G335" s="63"/>
      <c r="H335" s="63"/>
      <c r="I335" s="63"/>
      <c r="J335" s="63"/>
      <c r="N335" s="69"/>
    </row>
    <row r="336" spans="4:14" ht="15.75" customHeight="1">
      <c r="D336" s="63"/>
      <c r="E336" s="63"/>
      <c r="F336" s="63"/>
      <c r="G336" s="63"/>
      <c r="H336" s="63"/>
      <c r="I336" s="63"/>
      <c r="J336" s="63"/>
      <c r="N336" s="69"/>
    </row>
    <row r="337" spans="4:14" ht="15.75" customHeight="1">
      <c r="D337" s="63"/>
      <c r="E337" s="63"/>
      <c r="F337" s="63"/>
      <c r="G337" s="63"/>
      <c r="H337" s="63"/>
      <c r="I337" s="63"/>
      <c r="J337" s="63"/>
      <c r="N337" s="69"/>
    </row>
    <row r="338" spans="4:14" ht="15.75" customHeight="1">
      <c r="D338" s="63"/>
      <c r="E338" s="63"/>
      <c r="F338" s="63"/>
      <c r="G338" s="63"/>
      <c r="H338" s="63"/>
      <c r="I338" s="63"/>
      <c r="J338" s="63"/>
      <c r="N338" s="69"/>
    </row>
    <row r="339" spans="4:14" ht="15.75" customHeight="1">
      <c r="D339" s="63"/>
      <c r="E339" s="63"/>
      <c r="F339" s="63"/>
      <c r="G339" s="63"/>
      <c r="H339" s="63"/>
      <c r="I339" s="63"/>
      <c r="J339" s="63"/>
      <c r="N339" s="69"/>
    </row>
    <row r="340" spans="4:14" ht="15.75" customHeight="1">
      <c r="D340" s="63"/>
      <c r="E340" s="63"/>
      <c r="F340" s="63"/>
      <c r="G340" s="63"/>
      <c r="H340" s="63"/>
      <c r="I340" s="63"/>
      <c r="J340" s="63"/>
      <c r="N340" s="69"/>
    </row>
    <row r="341" spans="4:14" ht="15.75" customHeight="1">
      <c r="D341" s="63"/>
      <c r="E341" s="63"/>
      <c r="F341" s="63"/>
      <c r="G341" s="63"/>
      <c r="H341" s="63"/>
      <c r="I341" s="63"/>
      <c r="J341" s="63"/>
      <c r="N341" s="69"/>
    </row>
    <row r="342" spans="4:14" ht="15.75" customHeight="1">
      <c r="D342" s="63"/>
      <c r="E342" s="63"/>
      <c r="F342" s="63"/>
      <c r="G342" s="63"/>
      <c r="H342" s="63"/>
      <c r="I342" s="63"/>
      <c r="J342" s="63"/>
      <c r="N342" s="69"/>
    </row>
    <row r="343" spans="4:14" ht="15.75" customHeight="1">
      <c r="D343" s="63"/>
      <c r="E343" s="63"/>
      <c r="F343" s="63"/>
      <c r="G343" s="63"/>
      <c r="H343" s="63"/>
      <c r="I343" s="63"/>
      <c r="J343" s="63"/>
      <c r="N343" s="69"/>
    </row>
    <row r="344" spans="4:14" ht="15.75" customHeight="1">
      <c r="D344" s="63"/>
      <c r="E344" s="63"/>
      <c r="F344" s="63"/>
      <c r="G344" s="63"/>
      <c r="H344" s="63"/>
      <c r="I344" s="63"/>
      <c r="J344" s="63"/>
      <c r="N344" s="69"/>
    </row>
    <row r="345" spans="4:14" ht="15.75" customHeight="1">
      <c r="D345" s="63"/>
      <c r="E345" s="63"/>
      <c r="F345" s="63"/>
      <c r="G345" s="63"/>
      <c r="H345" s="63"/>
      <c r="I345" s="63"/>
      <c r="J345" s="63"/>
      <c r="N345" s="69"/>
    </row>
    <row r="346" spans="4:14" ht="15.75" customHeight="1">
      <c r="D346" s="63"/>
      <c r="E346" s="63"/>
      <c r="F346" s="63"/>
      <c r="G346" s="63"/>
      <c r="H346" s="63"/>
      <c r="I346" s="63"/>
      <c r="J346" s="63"/>
      <c r="N346" s="69"/>
    </row>
    <row r="347" spans="4:14" ht="15.75" customHeight="1">
      <c r="D347" s="63"/>
      <c r="E347" s="63"/>
      <c r="F347" s="63"/>
      <c r="G347" s="63"/>
      <c r="H347" s="63"/>
      <c r="I347" s="63"/>
      <c r="J347" s="63"/>
      <c r="N347" s="69"/>
    </row>
    <row r="348" spans="4:14" ht="15.75" customHeight="1">
      <c r="D348" s="63"/>
      <c r="E348" s="63"/>
      <c r="F348" s="63"/>
      <c r="G348" s="63"/>
      <c r="H348" s="63"/>
      <c r="I348" s="63"/>
      <c r="J348" s="63"/>
      <c r="N348" s="69"/>
    </row>
    <row r="349" spans="4:14" ht="15.75" customHeight="1">
      <c r="D349" s="63"/>
      <c r="E349" s="63"/>
      <c r="F349" s="63"/>
      <c r="G349" s="63"/>
      <c r="H349" s="63"/>
      <c r="I349" s="63"/>
      <c r="J349" s="63"/>
      <c r="N349" s="69"/>
    </row>
    <row r="350" spans="4:14" ht="15.75" customHeight="1">
      <c r="D350" s="63"/>
      <c r="E350" s="63"/>
      <c r="F350" s="63"/>
      <c r="G350" s="63"/>
      <c r="H350" s="63"/>
      <c r="I350" s="63"/>
      <c r="J350" s="63"/>
      <c r="N350" s="69"/>
    </row>
    <row r="351" spans="4:14" ht="15.75" customHeight="1">
      <c r="D351" s="63"/>
      <c r="E351" s="63"/>
      <c r="F351" s="63"/>
      <c r="G351" s="63"/>
      <c r="H351" s="63"/>
      <c r="I351" s="63"/>
      <c r="J351" s="63"/>
      <c r="N351" s="69"/>
    </row>
    <row r="352" spans="4:14" ht="15.75" customHeight="1">
      <c r="D352" s="63"/>
      <c r="E352" s="63"/>
      <c r="F352" s="63"/>
      <c r="G352" s="63"/>
      <c r="H352" s="63"/>
      <c r="I352" s="63"/>
      <c r="J352" s="63"/>
      <c r="N352" s="69"/>
    </row>
    <row r="353" spans="4:14" ht="15.75" customHeight="1">
      <c r="D353" s="63"/>
      <c r="E353" s="63"/>
      <c r="F353" s="63"/>
      <c r="G353" s="63"/>
      <c r="H353" s="63"/>
      <c r="I353" s="63"/>
      <c r="J353" s="63"/>
      <c r="N353" s="69"/>
    </row>
    <row r="354" spans="4:14" ht="15.75" customHeight="1">
      <c r="D354" s="63"/>
      <c r="E354" s="63"/>
      <c r="F354" s="63"/>
      <c r="G354" s="63"/>
      <c r="H354" s="63"/>
      <c r="I354" s="63"/>
      <c r="J354" s="63"/>
      <c r="N354" s="69"/>
    </row>
    <row r="355" spans="4:14" ht="15.75" customHeight="1">
      <c r="D355" s="63"/>
      <c r="E355" s="63"/>
      <c r="F355" s="63"/>
      <c r="G355" s="63"/>
      <c r="H355" s="63"/>
      <c r="I355" s="63"/>
      <c r="J355" s="63"/>
      <c r="N355" s="69"/>
    </row>
    <row r="356" spans="4:14" ht="15.75" customHeight="1">
      <c r="D356" s="63"/>
      <c r="E356" s="63"/>
      <c r="F356" s="63"/>
      <c r="G356" s="63"/>
      <c r="H356" s="63"/>
      <c r="I356" s="63"/>
      <c r="J356" s="63"/>
      <c r="N356" s="69"/>
    </row>
    <row r="357" spans="4:14" ht="15.75" customHeight="1">
      <c r="D357" s="63"/>
      <c r="E357" s="63"/>
      <c r="F357" s="63"/>
      <c r="G357" s="63"/>
      <c r="H357" s="63"/>
      <c r="I357" s="63"/>
      <c r="J357" s="63"/>
      <c r="N357" s="69"/>
    </row>
    <row r="358" spans="4:14" ht="15.75" customHeight="1">
      <c r="D358" s="63"/>
      <c r="E358" s="63"/>
      <c r="F358" s="63"/>
      <c r="G358" s="63"/>
      <c r="H358" s="63"/>
      <c r="I358" s="63"/>
      <c r="J358" s="63"/>
      <c r="N358" s="69"/>
    </row>
    <row r="359" spans="4:14" ht="15.75" customHeight="1">
      <c r="D359" s="63"/>
      <c r="E359" s="63"/>
      <c r="F359" s="63"/>
      <c r="G359" s="63"/>
      <c r="H359" s="63"/>
      <c r="I359" s="63"/>
      <c r="J359" s="63"/>
      <c r="N359" s="69"/>
    </row>
    <row r="360" spans="4:14" ht="15.75" customHeight="1">
      <c r="D360" s="63"/>
      <c r="E360" s="63"/>
      <c r="F360" s="63"/>
      <c r="G360" s="63"/>
      <c r="H360" s="63"/>
      <c r="I360" s="63"/>
      <c r="J360" s="63"/>
      <c r="N360" s="69"/>
    </row>
    <row r="361" spans="4:14" ht="15.75" customHeight="1">
      <c r="D361" s="63"/>
      <c r="E361" s="63"/>
      <c r="F361" s="63"/>
      <c r="G361" s="63"/>
      <c r="H361" s="63"/>
      <c r="I361" s="63"/>
      <c r="J361" s="63"/>
      <c r="N361" s="69"/>
    </row>
    <row r="362" spans="4:14" ht="15.75" customHeight="1">
      <c r="D362" s="63"/>
      <c r="E362" s="63"/>
      <c r="F362" s="63"/>
      <c r="G362" s="63"/>
      <c r="H362" s="63"/>
      <c r="I362" s="63"/>
      <c r="J362" s="63"/>
      <c r="N362" s="69"/>
    </row>
    <row r="363" spans="4:14" ht="15.75" customHeight="1">
      <c r="D363" s="63"/>
      <c r="E363" s="63"/>
      <c r="F363" s="63"/>
      <c r="G363" s="63"/>
      <c r="H363" s="63"/>
      <c r="I363" s="63"/>
      <c r="J363" s="63"/>
      <c r="N363" s="69"/>
    </row>
    <row r="364" spans="4:14" ht="15.75" customHeight="1">
      <c r="D364" s="63"/>
      <c r="E364" s="63"/>
      <c r="F364" s="63"/>
      <c r="G364" s="63"/>
      <c r="H364" s="63"/>
      <c r="I364" s="63"/>
      <c r="J364" s="63"/>
      <c r="N364" s="69"/>
    </row>
    <row r="365" spans="4:14" ht="15.75" customHeight="1">
      <c r="D365" s="63"/>
      <c r="E365" s="63"/>
      <c r="F365" s="63"/>
      <c r="G365" s="63"/>
      <c r="H365" s="63"/>
      <c r="I365" s="63"/>
      <c r="J365" s="63"/>
      <c r="N365" s="69"/>
    </row>
    <row r="366" spans="4:14" ht="15.75" customHeight="1">
      <c r="D366" s="63"/>
      <c r="E366" s="63"/>
      <c r="F366" s="63"/>
      <c r="G366" s="63"/>
      <c r="H366" s="63"/>
      <c r="I366" s="63"/>
      <c r="J366" s="63"/>
      <c r="N366" s="69"/>
    </row>
    <row r="367" spans="4:14" ht="15.75" customHeight="1">
      <c r="D367" s="63"/>
      <c r="E367" s="63"/>
      <c r="F367" s="63"/>
      <c r="G367" s="63"/>
      <c r="H367" s="63"/>
      <c r="I367" s="63"/>
      <c r="J367" s="63"/>
      <c r="N367" s="69"/>
    </row>
    <row r="368" spans="4:14" ht="15.75" customHeight="1">
      <c r="D368" s="63"/>
      <c r="E368" s="63"/>
      <c r="F368" s="63"/>
      <c r="G368" s="63"/>
      <c r="H368" s="63"/>
      <c r="I368" s="63"/>
      <c r="J368" s="63"/>
      <c r="N368" s="69"/>
    </row>
    <row r="369" spans="4:14" ht="15.75" customHeight="1">
      <c r="D369" s="63"/>
      <c r="E369" s="63"/>
      <c r="F369" s="63"/>
      <c r="G369" s="63"/>
      <c r="H369" s="63"/>
      <c r="I369" s="63"/>
      <c r="J369" s="63"/>
      <c r="N369" s="69"/>
    </row>
    <row r="370" spans="4:14" ht="15.75" customHeight="1">
      <c r="D370" s="63"/>
      <c r="E370" s="63"/>
      <c r="F370" s="63"/>
      <c r="G370" s="63"/>
      <c r="H370" s="63"/>
      <c r="I370" s="63"/>
      <c r="J370" s="63"/>
      <c r="N370" s="69"/>
    </row>
    <row r="371" spans="4:14" ht="15.75" customHeight="1">
      <c r="D371" s="63"/>
      <c r="E371" s="63"/>
      <c r="F371" s="63"/>
      <c r="G371" s="63"/>
      <c r="H371" s="63"/>
      <c r="I371" s="63"/>
      <c r="J371" s="63"/>
      <c r="N371" s="69"/>
    </row>
    <row r="372" spans="4:14" ht="15.75" customHeight="1">
      <c r="D372" s="63"/>
      <c r="E372" s="63"/>
      <c r="F372" s="63"/>
      <c r="G372" s="63"/>
      <c r="H372" s="63"/>
      <c r="I372" s="63"/>
      <c r="J372" s="63"/>
      <c r="N372" s="69"/>
    </row>
    <row r="373" spans="4:14" ht="15.75" customHeight="1">
      <c r="D373" s="63"/>
      <c r="E373" s="63"/>
      <c r="F373" s="63"/>
      <c r="G373" s="63"/>
      <c r="H373" s="63"/>
      <c r="I373" s="63"/>
      <c r="J373" s="63"/>
      <c r="N373" s="69"/>
    </row>
    <row r="374" spans="4:14" ht="15.75" customHeight="1">
      <c r="D374" s="63"/>
      <c r="E374" s="63"/>
      <c r="F374" s="63"/>
      <c r="G374" s="63"/>
      <c r="H374" s="63"/>
      <c r="I374" s="63"/>
      <c r="J374" s="63"/>
      <c r="N374" s="69"/>
    </row>
    <row r="375" spans="4:14" ht="15.75" customHeight="1">
      <c r="D375" s="63"/>
      <c r="E375" s="63"/>
      <c r="F375" s="63"/>
      <c r="G375" s="63"/>
      <c r="H375" s="63"/>
      <c r="I375" s="63"/>
      <c r="J375" s="63"/>
      <c r="N375" s="69"/>
    </row>
    <row r="376" spans="4:14" ht="15.75" customHeight="1">
      <c r="D376" s="63"/>
      <c r="E376" s="63"/>
      <c r="F376" s="63"/>
      <c r="G376" s="63"/>
      <c r="H376" s="63"/>
      <c r="I376" s="63"/>
      <c r="J376" s="63"/>
      <c r="N376" s="69"/>
    </row>
    <row r="377" spans="4:14" ht="15.75" customHeight="1">
      <c r="D377" s="63"/>
      <c r="E377" s="63"/>
      <c r="F377" s="63"/>
      <c r="G377" s="63"/>
      <c r="H377" s="63"/>
      <c r="I377" s="63"/>
      <c r="J377" s="63"/>
      <c r="N377" s="69"/>
    </row>
    <row r="378" spans="4:14" ht="15.75" customHeight="1">
      <c r="D378" s="63"/>
      <c r="E378" s="63"/>
      <c r="F378" s="63"/>
      <c r="G378" s="63"/>
      <c r="H378" s="63"/>
      <c r="I378" s="63"/>
      <c r="J378" s="63"/>
      <c r="N378" s="69"/>
    </row>
    <row r="379" spans="4:14" ht="15.75" customHeight="1">
      <c r="D379" s="63"/>
      <c r="E379" s="63"/>
      <c r="F379" s="63"/>
      <c r="G379" s="63"/>
      <c r="H379" s="63"/>
      <c r="I379" s="63"/>
      <c r="J379" s="63"/>
      <c r="N379" s="69"/>
    </row>
    <row r="380" spans="4:14" ht="15.75" customHeight="1">
      <c r="D380" s="63"/>
      <c r="E380" s="63"/>
      <c r="F380" s="63"/>
      <c r="G380" s="63"/>
      <c r="H380" s="63"/>
      <c r="I380" s="63"/>
      <c r="J380" s="63"/>
      <c r="N380" s="69"/>
    </row>
    <row r="381" spans="4:14" ht="15.75" customHeight="1">
      <c r="D381" s="63"/>
      <c r="E381" s="63"/>
      <c r="F381" s="63"/>
      <c r="G381" s="63"/>
      <c r="H381" s="63"/>
      <c r="I381" s="63"/>
      <c r="J381" s="63"/>
      <c r="N381" s="69"/>
    </row>
    <row r="382" spans="4:14" ht="15.75" customHeight="1">
      <c r="D382" s="63"/>
      <c r="E382" s="63"/>
      <c r="F382" s="63"/>
      <c r="G382" s="63"/>
      <c r="H382" s="63"/>
      <c r="I382" s="63"/>
      <c r="J382" s="63"/>
      <c r="N382" s="69"/>
    </row>
    <row r="383" spans="4:14" ht="15.75" customHeight="1">
      <c r="D383" s="63"/>
      <c r="E383" s="63"/>
      <c r="F383" s="63"/>
      <c r="G383" s="63"/>
      <c r="H383" s="63"/>
      <c r="I383" s="63"/>
      <c r="J383" s="63"/>
      <c r="N383" s="69"/>
    </row>
    <row r="384" spans="4:14" ht="15.75" customHeight="1">
      <c r="D384" s="63"/>
      <c r="E384" s="63"/>
      <c r="F384" s="63"/>
      <c r="G384" s="63"/>
      <c r="H384" s="63"/>
      <c r="I384" s="63"/>
      <c r="J384" s="63"/>
      <c r="N384" s="69"/>
    </row>
    <row r="385" spans="4:14" ht="15.75" customHeight="1">
      <c r="D385" s="63"/>
      <c r="E385" s="63"/>
      <c r="F385" s="63"/>
      <c r="G385" s="63"/>
      <c r="H385" s="63"/>
      <c r="I385" s="63"/>
      <c r="J385" s="63"/>
      <c r="N385" s="69"/>
    </row>
    <row r="386" spans="4:14" ht="15.75" customHeight="1">
      <c r="D386" s="63"/>
      <c r="E386" s="63"/>
      <c r="F386" s="63"/>
      <c r="G386" s="63"/>
      <c r="H386" s="63"/>
      <c r="I386" s="63"/>
      <c r="J386" s="63"/>
      <c r="N386" s="69"/>
    </row>
    <row r="387" spans="4:14" ht="15.75" customHeight="1">
      <c r="D387" s="63"/>
      <c r="E387" s="63"/>
      <c r="F387" s="63"/>
      <c r="G387" s="63"/>
      <c r="H387" s="63"/>
      <c r="I387" s="63"/>
      <c r="J387" s="63"/>
      <c r="N387" s="69"/>
    </row>
    <row r="388" spans="4:14" ht="15.75" customHeight="1">
      <c r="D388" s="63"/>
      <c r="E388" s="63"/>
      <c r="F388" s="63"/>
      <c r="G388" s="63"/>
      <c r="H388" s="63"/>
      <c r="I388" s="63"/>
      <c r="J388" s="63"/>
      <c r="N388" s="69"/>
    </row>
    <row r="389" spans="4:14" ht="15.75" customHeight="1">
      <c r="D389" s="63"/>
      <c r="E389" s="63"/>
      <c r="F389" s="63"/>
      <c r="G389" s="63"/>
      <c r="H389" s="63"/>
      <c r="I389" s="63"/>
      <c r="J389" s="63"/>
      <c r="N389" s="69"/>
    </row>
    <row r="390" spans="4:14" ht="15.75" customHeight="1">
      <c r="D390" s="63"/>
      <c r="E390" s="63"/>
      <c r="F390" s="63"/>
      <c r="G390" s="63"/>
      <c r="H390" s="63"/>
      <c r="I390" s="63"/>
      <c r="J390" s="63"/>
      <c r="N390" s="69"/>
    </row>
    <row r="391" spans="4:14" ht="15.75" customHeight="1">
      <c r="D391" s="63"/>
      <c r="E391" s="63"/>
      <c r="F391" s="63"/>
      <c r="G391" s="63"/>
      <c r="H391" s="63"/>
      <c r="I391" s="63"/>
      <c r="J391" s="63"/>
      <c r="N391" s="69"/>
    </row>
    <row r="392" spans="4:14" ht="15.75" customHeight="1">
      <c r="D392" s="63"/>
      <c r="E392" s="63"/>
      <c r="F392" s="63"/>
      <c r="G392" s="63"/>
      <c r="H392" s="63"/>
      <c r="I392" s="63"/>
      <c r="J392" s="63"/>
      <c r="N392" s="69"/>
    </row>
    <row r="393" spans="4:14" ht="15.75" customHeight="1">
      <c r="D393" s="63"/>
      <c r="E393" s="63"/>
      <c r="F393" s="63"/>
      <c r="G393" s="63"/>
      <c r="H393" s="63"/>
      <c r="I393" s="63"/>
      <c r="J393" s="63"/>
      <c r="N393" s="69"/>
    </row>
    <row r="394" spans="4:14" ht="15.75" customHeight="1">
      <c r="D394" s="63"/>
      <c r="E394" s="63"/>
      <c r="F394" s="63"/>
      <c r="G394" s="63"/>
      <c r="H394" s="63"/>
      <c r="I394" s="63"/>
      <c r="J394" s="63"/>
      <c r="N394" s="69"/>
    </row>
    <row r="395" spans="4:14" ht="15.75" customHeight="1">
      <c r="D395" s="63"/>
      <c r="E395" s="63"/>
      <c r="F395" s="63"/>
      <c r="G395" s="63"/>
      <c r="H395" s="63"/>
      <c r="I395" s="63"/>
      <c r="J395" s="63"/>
      <c r="N395" s="69"/>
    </row>
    <row r="396" spans="4:14" ht="15.75" customHeight="1">
      <c r="D396" s="63"/>
      <c r="E396" s="63"/>
      <c r="F396" s="63"/>
      <c r="G396" s="63"/>
      <c r="H396" s="63"/>
      <c r="I396" s="63"/>
      <c r="J396" s="63"/>
      <c r="N396" s="69"/>
    </row>
    <row r="397" spans="4:14" ht="15.75" customHeight="1">
      <c r="D397" s="63"/>
      <c r="E397" s="63"/>
      <c r="F397" s="63"/>
      <c r="G397" s="63"/>
      <c r="H397" s="63"/>
      <c r="I397" s="63"/>
      <c r="J397" s="63"/>
      <c r="N397" s="69"/>
    </row>
    <row r="398" spans="4:14" ht="15.75" customHeight="1">
      <c r="D398" s="63"/>
      <c r="E398" s="63"/>
      <c r="F398" s="63"/>
      <c r="G398" s="63"/>
      <c r="H398" s="63"/>
      <c r="I398" s="63"/>
      <c r="J398" s="63"/>
      <c r="N398" s="69"/>
    </row>
    <row r="399" spans="4:14" ht="15.75" customHeight="1">
      <c r="D399" s="63"/>
      <c r="E399" s="63"/>
      <c r="F399" s="63"/>
      <c r="G399" s="63"/>
      <c r="H399" s="63"/>
      <c r="I399" s="63"/>
      <c r="J399" s="63"/>
      <c r="N399" s="69"/>
    </row>
    <row r="400" spans="4:14" ht="15.75" customHeight="1">
      <c r="D400" s="63"/>
      <c r="E400" s="63"/>
      <c r="F400" s="63"/>
      <c r="G400" s="63"/>
      <c r="H400" s="63"/>
      <c r="I400" s="63"/>
      <c r="J400" s="63"/>
      <c r="N400" s="69"/>
    </row>
    <row r="401" spans="4:14" ht="15.75" customHeight="1">
      <c r="D401" s="63"/>
      <c r="E401" s="63"/>
      <c r="F401" s="63"/>
      <c r="G401" s="63"/>
      <c r="H401" s="63"/>
      <c r="I401" s="63"/>
      <c r="J401" s="63"/>
      <c r="N401" s="69"/>
    </row>
    <row r="402" spans="4:14" ht="15.75" customHeight="1">
      <c r="D402" s="63"/>
      <c r="E402" s="63"/>
      <c r="F402" s="63"/>
      <c r="G402" s="63"/>
      <c r="H402" s="63"/>
      <c r="I402" s="63"/>
      <c r="J402" s="63"/>
      <c r="N402" s="69"/>
    </row>
    <row r="403" spans="4:14" ht="15.75" customHeight="1">
      <c r="D403" s="63"/>
      <c r="E403" s="63"/>
      <c r="F403" s="63"/>
      <c r="G403" s="63"/>
      <c r="H403" s="63"/>
      <c r="I403" s="63"/>
      <c r="J403" s="63"/>
      <c r="N403" s="69"/>
    </row>
    <row r="404" spans="4:14" ht="15.75" customHeight="1">
      <c r="D404" s="63"/>
      <c r="E404" s="63"/>
      <c r="F404" s="63"/>
      <c r="G404" s="63"/>
      <c r="H404" s="63"/>
      <c r="I404" s="63"/>
      <c r="J404" s="63"/>
      <c r="N404" s="69"/>
    </row>
    <row r="405" spans="4:14" ht="15.75" customHeight="1">
      <c r="D405" s="63"/>
      <c r="E405" s="63"/>
      <c r="F405" s="63"/>
      <c r="G405" s="63"/>
      <c r="H405" s="63"/>
      <c r="I405" s="63"/>
      <c r="J405" s="63"/>
      <c r="N405" s="69"/>
    </row>
    <row r="406" spans="4:14" ht="15.75" customHeight="1">
      <c r="D406" s="63"/>
      <c r="E406" s="63"/>
      <c r="F406" s="63"/>
      <c r="G406" s="63"/>
      <c r="H406" s="63"/>
      <c r="I406" s="63"/>
      <c r="J406" s="63"/>
      <c r="N406" s="69"/>
    </row>
    <row r="407" spans="4:14" ht="15.75" customHeight="1">
      <c r="D407" s="63"/>
      <c r="E407" s="63"/>
      <c r="F407" s="63"/>
      <c r="G407" s="63"/>
      <c r="H407" s="63"/>
      <c r="I407" s="63"/>
      <c r="J407" s="63"/>
      <c r="N407" s="69"/>
    </row>
    <row r="408" spans="4:14" ht="15.75" customHeight="1">
      <c r="D408" s="63"/>
      <c r="E408" s="63"/>
      <c r="F408" s="63"/>
      <c r="G408" s="63"/>
      <c r="H408" s="63"/>
      <c r="I408" s="63"/>
      <c r="J408" s="63"/>
      <c r="N408" s="69"/>
    </row>
    <row r="409" spans="4:14" ht="15.75" customHeight="1">
      <c r="D409" s="63"/>
      <c r="E409" s="63"/>
      <c r="F409" s="63"/>
      <c r="G409" s="63"/>
      <c r="H409" s="63"/>
      <c r="I409" s="63"/>
      <c r="J409" s="63"/>
      <c r="N409" s="69"/>
    </row>
    <row r="410" spans="4:14" ht="15.75" customHeight="1">
      <c r="D410" s="63"/>
      <c r="E410" s="63"/>
      <c r="F410" s="63"/>
      <c r="G410" s="63"/>
      <c r="H410" s="63"/>
      <c r="I410" s="63"/>
      <c r="J410" s="63"/>
      <c r="N410" s="69"/>
    </row>
    <row r="411" spans="4:14" ht="15.75" customHeight="1">
      <c r="D411" s="63"/>
      <c r="E411" s="63"/>
      <c r="F411" s="63"/>
      <c r="G411" s="63"/>
      <c r="H411" s="63"/>
      <c r="I411" s="63"/>
      <c r="J411" s="63"/>
      <c r="N411" s="69"/>
    </row>
    <row r="412" spans="4:14" ht="15.75" customHeight="1">
      <c r="D412" s="63"/>
      <c r="E412" s="63"/>
      <c r="F412" s="63"/>
      <c r="G412" s="63"/>
      <c r="H412" s="63"/>
      <c r="I412" s="63"/>
      <c r="J412" s="63"/>
      <c r="N412" s="69"/>
    </row>
    <row r="413" spans="4:14" ht="15.75" customHeight="1">
      <c r="D413" s="63"/>
      <c r="E413" s="63"/>
      <c r="F413" s="63"/>
      <c r="G413" s="63"/>
      <c r="H413" s="63"/>
      <c r="I413" s="63"/>
      <c r="J413" s="63"/>
      <c r="N413" s="69"/>
    </row>
    <row r="414" spans="4:14" ht="15.75" customHeight="1">
      <c r="D414" s="63"/>
      <c r="E414" s="63"/>
      <c r="F414" s="63"/>
      <c r="G414" s="63"/>
      <c r="H414" s="63"/>
      <c r="I414" s="63"/>
      <c r="J414" s="63"/>
      <c r="N414" s="69"/>
    </row>
    <row r="415" spans="4:14" ht="15.75" customHeight="1">
      <c r="D415" s="63"/>
      <c r="E415" s="63"/>
      <c r="F415" s="63"/>
      <c r="G415" s="63"/>
      <c r="H415" s="63"/>
      <c r="I415" s="63"/>
      <c r="J415" s="63"/>
      <c r="N415" s="69"/>
    </row>
    <row r="416" spans="4:14" ht="15.75" customHeight="1">
      <c r="D416" s="63"/>
      <c r="E416" s="63"/>
      <c r="F416" s="63"/>
      <c r="G416" s="63"/>
      <c r="H416" s="63"/>
      <c r="I416" s="63"/>
      <c r="J416" s="63"/>
      <c r="N416" s="69"/>
    </row>
    <row r="417" spans="4:14" ht="15.75" customHeight="1">
      <c r="D417" s="63"/>
      <c r="E417" s="63"/>
      <c r="F417" s="63"/>
      <c r="G417" s="63"/>
      <c r="H417" s="63"/>
      <c r="I417" s="63"/>
      <c r="J417" s="63"/>
      <c r="N417" s="69"/>
    </row>
    <row r="418" spans="4:14" ht="15.75" customHeight="1">
      <c r="D418" s="63"/>
      <c r="E418" s="63"/>
      <c r="F418" s="63"/>
      <c r="G418" s="63"/>
      <c r="H418" s="63"/>
      <c r="I418" s="63"/>
      <c r="J418" s="63"/>
      <c r="N418" s="69"/>
    </row>
    <row r="419" spans="4:14" ht="15.75" customHeight="1">
      <c r="D419" s="63"/>
      <c r="E419" s="63"/>
      <c r="F419" s="63"/>
      <c r="G419" s="63"/>
      <c r="H419" s="63"/>
      <c r="I419" s="63"/>
      <c r="J419" s="63"/>
      <c r="N419" s="69"/>
    </row>
    <row r="420" spans="4:14" ht="15.75" customHeight="1">
      <c r="D420" s="63"/>
      <c r="E420" s="63"/>
      <c r="F420" s="63"/>
      <c r="G420" s="63"/>
      <c r="H420" s="63"/>
      <c r="I420" s="63"/>
      <c r="J420" s="63"/>
      <c r="N420" s="69"/>
    </row>
    <row r="421" spans="4:14" ht="15.75" customHeight="1">
      <c r="D421" s="63"/>
      <c r="E421" s="63"/>
      <c r="F421" s="63"/>
      <c r="G421" s="63"/>
      <c r="H421" s="63"/>
      <c r="I421" s="63"/>
      <c r="J421" s="63"/>
      <c r="N421" s="69"/>
    </row>
    <row r="422" spans="4:14" ht="15.75" customHeight="1">
      <c r="D422" s="63"/>
      <c r="E422" s="63"/>
      <c r="F422" s="63"/>
      <c r="G422" s="63"/>
      <c r="H422" s="63"/>
      <c r="I422" s="63"/>
      <c r="J422" s="63"/>
      <c r="N422" s="69"/>
    </row>
    <row r="423" spans="4:14" ht="15.75" customHeight="1">
      <c r="D423" s="63"/>
      <c r="E423" s="63"/>
      <c r="F423" s="63"/>
      <c r="G423" s="63"/>
      <c r="H423" s="63"/>
      <c r="I423" s="63"/>
      <c r="J423" s="63"/>
      <c r="N423" s="69"/>
    </row>
    <row r="424" spans="4:14" ht="15.75" customHeight="1">
      <c r="D424" s="63"/>
      <c r="E424" s="63"/>
      <c r="F424" s="63"/>
      <c r="G424" s="63"/>
      <c r="H424" s="63"/>
      <c r="I424" s="63"/>
      <c r="J424" s="63"/>
      <c r="N424" s="69"/>
    </row>
    <row r="425" spans="4:14" ht="15.75" customHeight="1">
      <c r="D425" s="63"/>
      <c r="E425" s="63"/>
      <c r="F425" s="63"/>
      <c r="G425" s="63"/>
      <c r="H425" s="63"/>
      <c r="I425" s="63"/>
      <c r="J425" s="63"/>
      <c r="N425" s="69"/>
    </row>
    <row r="426" spans="4:14" ht="15.75" customHeight="1">
      <c r="D426" s="63"/>
      <c r="E426" s="63"/>
      <c r="F426" s="63"/>
      <c r="G426" s="63"/>
      <c r="H426" s="63"/>
      <c r="I426" s="63"/>
      <c r="J426" s="63"/>
      <c r="N426" s="69"/>
    </row>
    <row r="427" spans="4:14" ht="15.75" customHeight="1">
      <c r="D427" s="63"/>
      <c r="E427" s="63"/>
      <c r="F427" s="63"/>
      <c r="G427" s="63"/>
      <c r="H427" s="63"/>
      <c r="I427" s="63"/>
      <c r="J427" s="63"/>
      <c r="N427" s="69"/>
    </row>
    <row r="428" spans="4:14" ht="15.75" customHeight="1">
      <c r="D428" s="63"/>
      <c r="E428" s="63"/>
      <c r="F428" s="63"/>
      <c r="G428" s="63"/>
      <c r="H428" s="63"/>
      <c r="I428" s="63"/>
      <c r="J428" s="63"/>
      <c r="N428" s="69"/>
    </row>
    <row r="429" spans="4:14" ht="15.75" customHeight="1">
      <c r="D429" s="63"/>
      <c r="E429" s="63"/>
      <c r="F429" s="63"/>
      <c r="G429" s="63"/>
      <c r="H429" s="63"/>
      <c r="I429" s="63"/>
      <c r="J429" s="63"/>
      <c r="N429" s="69"/>
    </row>
    <row r="430" spans="4:14" ht="15.75" customHeight="1">
      <c r="D430" s="63"/>
      <c r="E430" s="63"/>
      <c r="F430" s="63"/>
      <c r="G430" s="63"/>
      <c r="H430" s="63"/>
      <c r="I430" s="63"/>
      <c r="J430" s="63"/>
      <c r="N430" s="69"/>
    </row>
    <row r="431" spans="4:14" ht="15.75" customHeight="1">
      <c r="D431" s="63"/>
      <c r="E431" s="63"/>
      <c r="F431" s="63"/>
      <c r="G431" s="63"/>
      <c r="H431" s="63"/>
      <c r="I431" s="63"/>
      <c r="J431" s="63"/>
      <c r="N431" s="69"/>
    </row>
    <row r="432" spans="4:14" ht="15.75" customHeight="1">
      <c r="D432" s="63"/>
      <c r="E432" s="63"/>
      <c r="F432" s="63"/>
      <c r="G432" s="63"/>
      <c r="H432" s="63"/>
      <c r="I432" s="63"/>
      <c r="J432" s="63"/>
      <c r="N432" s="69"/>
    </row>
    <row r="433" spans="4:14" ht="15.75" customHeight="1">
      <c r="D433" s="63"/>
      <c r="E433" s="63"/>
      <c r="F433" s="63"/>
      <c r="G433" s="63"/>
      <c r="H433" s="63"/>
      <c r="I433" s="63"/>
      <c r="J433" s="63"/>
      <c r="N433" s="69"/>
    </row>
    <row r="434" spans="4:14" ht="15.75" customHeight="1">
      <c r="D434" s="63"/>
      <c r="E434" s="63"/>
      <c r="F434" s="63"/>
      <c r="G434" s="63"/>
      <c r="H434" s="63"/>
      <c r="I434" s="63"/>
      <c r="J434" s="63"/>
      <c r="N434" s="69"/>
    </row>
    <row r="435" spans="4:14" ht="15.75" customHeight="1">
      <c r="D435" s="63"/>
      <c r="E435" s="63"/>
      <c r="F435" s="63"/>
      <c r="G435" s="63"/>
      <c r="H435" s="63"/>
      <c r="I435" s="63"/>
      <c r="J435" s="63"/>
      <c r="N435" s="69"/>
    </row>
    <row r="436" spans="4:14" ht="15.75" customHeight="1">
      <c r="D436" s="63"/>
      <c r="E436" s="63"/>
      <c r="F436" s="63"/>
      <c r="G436" s="63"/>
      <c r="H436" s="63"/>
      <c r="I436" s="63"/>
      <c r="J436" s="63"/>
      <c r="N436" s="69"/>
    </row>
    <row r="437" spans="4:14" ht="15.75" customHeight="1">
      <c r="D437" s="63"/>
      <c r="E437" s="63"/>
      <c r="F437" s="63"/>
      <c r="G437" s="63"/>
      <c r="H437" s="63"/>
      <c r="I437" s="63"/>
      <c r="J437" s="63"/>
      <c r="N437" s="69"/>
    </row>
    <row r="438" spans="4:14" ht="15.75" customHeight="1">
      <c r="D438" s="63"/>
      <c r="E438" s="63"/>
      <c r="F438" s="63"/>
      <c r="G438" s="63"/>
      <c r="H438" s="63"/>
      <c r="I438" s="63"/>
      <c r="J438" s="63"/>
      <c r="N438" s="69"/>
    </row>
    <row r="439" spans="4:14" ht="15.75" customHeight="1">
      <c r="D439" s="63"/>
      <c r="E439" s="63"/>
      <c r="F439" s="63"/>
      <c r="G439" s="63"/>
      <c r="H439" s="63"/>
      <c r="I439" s="63"/>
      <c r="J439" s="63"/>
      <c r="N439" s="69"/>
    </row>
    <row r="440" spans="4:14" ht="15.75" customHeight="1">
      <c r="D440" s="63"/>
      <c r="E440" s="63"/>
      <c r="F440" s="63"/>
      <c r="G440" s="63"/>
      <c r="H440" s="63"/>
      <c r="I440" s="63"/>
      <c r="J440" s="63"/>
      <c r="N440" s="69"/>
    </row>
    <row r="441" spans="4:14" ht="15.75" customHeight="1">
      <c r="D441" s="63"/>
      <c r="E441" s="63"/>
      <c r="F441" s="63"/>
      <c r="G441" s="63"/>
      <c r="H441" s="63"/>
      <c r="I441" s="63"/>
      <c r="J441" s="63"/>
      <c r="N441" s="69"/>
    </row>
    <row r="442" spans="4:14" ht="15.75" customHeight="1">
      <c r="D442" s="63"/>
      <c r="E442" s="63"/>
      <c r="F442" s="63"/>
      <c r="G442" s="63"/>
      <c r="H442" s="63"/>
      <c r="I442" s="63"/>
      <c r="J442" s="63"/>
      <c r="N442" s="69"/>
    </row>
    <row r="443" spans="4:14" ht="15.75" customHeight="1">
      <c r="D443" s="63"/>
      <c r="E443" s="63"/>
      <c r="F443" s="63"/>
      <c r="G443" s="63"/>
      <c r="H443" s="63"/>
      <c r="I443" s="63"/>
      <c r="J443" s="63"/>
      <c r="N443" s="69"/>
    </row>
    <row r="444" spans="4:14" ht="15.75" customHeight="1">
      <c r="D444" s="63"/>
      <c r="E444" s="63"/>
      <c r="F444" s="63"/>
      <c r="G444" s="63"/>
      <c r="H444" s="63"/>
      <c r="I444" s="63"/>
      <c r="J444" s="63"/>
      <c r="N444" s="69"/>
    </row>
    <row r="445" spans="4:14" ht="15.75" customHeight="1">
      <c r="D445" s="63"/>
      <c r="E445" s="63"/>
      <c r="F445" s="63"/>
      <c r="G445" s="63"/>
      <c r="H445" s="63"/>
      <c r="I445" s="63"/>
      <c r="J445" s="63"/>
      <c r="N445" s="69"/>
    </row>
    <row r="446" spans="4:14" ht="15.75" customHeight="1">
      <c r="D446" s="63"/>
      <c r="E446" s="63"/>
      <c r="F446" s="63"/>
      <c r="G446" s="63"/>
      <c r="H446" s="63"/>
      <c r="I446" s="63"/>
      <c r="J446" s="63"/>
      <c r="N446" s="69"/>
    </row>
    <row r="447" spans="4:14" ht="15.75" customHeight="1">
      <c r="D447" s="63"/>
      <c r="E447" s="63"/>
      <c r="F447" s="63"/>
      <c r="G447" s="63"/>
      <c r="H447" s="63"/>
      <c r="I447" s="63"/>
      <c r="J447" s="63"/>
      <c r="N447" s="69"/>
    </row>
    <row r="448" spans="4:14" ht="15.75" customHeight="1">
      <c r="D448" s="63"/>
      <c r="E448" s="63"/>
      <c r="F448" s="63"/>
      <c r="G448" s="63"/>
      <c r="H448" s="63"/>
      <c r="I448" s="63"/>
      <c r="J448" s="63"/>
      <c r="N448" s="69"/>
    </row>
    <row r="449" spans="4:14" ht="15.75" customHeight="1">
      <c r="D449" s="63"/>
      <c r="E449" s="63"/>
      <c r="F449" s="63"/>
      <c r="G449" s="63"/>
      <c r="H449" s="63"/>
      <c r="I449" s="63"/>
      <c r="J449" s="63"/>
      <c r="N449" s="69"/>
    </row>
    <row r="450" spans="4:14" ht="15.75" customHeight="1">
      <c r="D450" s="63"/>
      <c r="E450" s="63"/>
      <c r="F450" s="63"/>
      <c r="G450" s="63"/>
      <c r="H450" s="63"/>
      <c r="I450" s="63"/>
      <c r="J450" s="63"/>
      <c r="N450" s="69"/>
    </row>
    <row r="451" spans="4:14" ht="15.75" customHeight="1">
      <c r="D451" s="63"/>
      <c r="E451" s="63"/>
      <c r="F451" s="63"/>
      <c r="G451" s="63"/>
      <c r="H451" s="63"/>
      <c r="I451" s="63"/>
      <c r="J451" s="63"/>
      <c r="N451" s="69"/>
    </row>
    <row r="452" spans="4:14" ht="15.75" customHeight="1">
      <c r="D452" s="63"/>
      <c r="E452" s="63"/>
      <c r="F452" s="63"/>
      <c r="G452" s="63"/>
      <c r="H452" s="63"/>
      <c r="I452" s="63"/>
      <c r="J452" s="63"/>
      <c r="N452" s="69"/>
    </row>
    <row r="453" spans="4:14" ht="15.75" customHeight="1">
      <c r="D453" s="63"/>
      <c r="E453" s="63"/>
      <c r="F453" s="63"/>
      <c r="G453" s="63"/>
      <c r="H453" s="63"/>
      <c r="I453" s="63"/>
      <c r="J453" s="63"/>
      <c r="N453" s="69"/>
    </row>
    <row r="454" spans="4:14" ht="15.75" customHeight="1">
      <c r="D454" s="63"/>
      <c r="E454" s="63"/>
      <c r="F454" s="63"/>
      <c r="G454" s="63"/>
      <c r="H454" s="63"/>
      <c r="I454" s="63"/>
      <c r="J454" s="63"/>
      <c r="N454" s="69"/>
    </row>
    <row r="455" spans="4:14" ht="15.75" customHeight="1">
      <c r="D455" s="63"/>
      <c r="E455" s="63"/>
      <c r="F455" s="63"/>
      <c r="G455" s="63"/>
      <c r="H455" s="63"/>
      <c r="I455" s="63"/>
      <c r="J455" s="63"/>
      <c r="N455" s="69"/>
    </row>
    <row r="456" spans="4:14" ht="15.75" customHeight="1">
      <c r="D456" s="63"/>
      <c r="E456" s="63"/>
      <c r="F456" s="63"/>
      <c r="G456" s="63"/>
      <c r="H456" s="63"/>
      <c r="I456" s="63"/>
      <c r="J456" s="63"/>
      <c r="N456" s="69"/>
    </row>
    <row r="457" spans="4:14" ht="15.75" customHeight="1">
      <c r="D457" s="63"/>
      <c r="E457" s="63"/>
      <c r="F457" s="63"/>
      <c r="G457" s="63"/>
      <c r="H457" s="63"/>
      <c r="I457" s="63"/>
      <c r="J457" s="63"/>
      <c r="N457" s="69"/>
    </row>
    <row r="458" spans="4:14" ht="15.75" customHeight="1">
      <c r="D458" s="63"/>
      <c r="E458" s="63"/>
      <c r="F458" s="63"/>
      <c r="G458" s="63"/>
      <c r="H458" s="63"/>
      <c r="I458" s="63"/>
      <c r="J458" s="63"/>
      <c r="N458" s="69"/>
    </row>
    <row r="459" spans="4:14" ht="15.75" customHeight="1">
      <c r="D459" s="63"/>
      <c r="E459" s="63"/>
      <c r="F459" s="63"/>
      <c r="G459" s="63"/>
      <c r="H459" s="63"/>
      <c r="I459" s="63"/>
      <c r="J459" s="63"/>
      <c r="N459" s="69"/>
    </row>
    <row r="460" spans="4:14" ht="15.75" customHeight="1">
      <c r="D460" s="63"/>
      <c r="E460" s="63"/>
      <c r="F460" s="63"/>
      <c r="G460" s="63"/>
      <c r="H460" s="63"/>
      <c r="I460" s="63"/>
      <c r="J460" s="63"/>
      <c r="N460" s="69"/>
    </row>
    <row r="461" spans="4:14" ht="15.75" customHeight="1">
      <c r="D461" s="63"/>
      <c r="E461" s="63"/>
      <c r="F461" s="63"/>
      <c r="G461" s="63"/>
      <c r="H461" s="63"/>
      <c r="I461" s="63"/>
      <c r="J461" s="63"/>
      <c r="N461" s="69"/>
    </row>
    <row r="462" spans="4:14" ht="15.75" customHeight="1">
      <c r="D462" s="63"/>
      <c r="E462" s="63"/>
      <c r="F462" s="63"/>
      <c r="G462" s="63"/>
      <c r="H462" s="63"/>
      <c r="I462" s="63"/>
      <c r="J462" s="63"/>
      <c r="N462" s="69"/>
    </row>
    <row r="463" spans="4:14" ht="15.75" customHeight="1">
      <c r="D463" s="63"/>
      <c r="E463" s="63"/>
      <c r="F463" s="63"/>
      <c r="G463" s="63"/>
      <c r="H463" s="63"/>
      <c r="I463" s="63"/>
      <c r="J463" s="63"/>
      <c r="N463" s="69"/>
    </row>
    <row r="464" spans="4:14" ht="15.75" customHeight="1">
      <c r="D464" s="63"/>
      <c r="E464" s="63"/>
      <c r="F464" s="63"/>
      <c r="G464" s="63"/>
      <c r="H464" s="63"/>
      <c r="I464" s="63"/>
      <c r="J464" s="63"/>
      <c r="N464" s="69"/>
    </row>
    <row r="465" spans="4:14" ht="15.75" customHeight="1">
      <c r="D465" s="63"/>
      <c r="E465" s="63"/>
      <c r="F465" s="63"/>
      <c r="G465" s="63"/>
      <c r="H465" s="63"/>
      <c r="I465" s="63"/>
      <c r="J465" s="63"/>
      <c r="N465" s="69"/>
    </row>
    <row r="466" spans="4:14" ht="15.75" customHeight="1">
      <c r="D466" s="63"/>
      <c r="E466" s="63"/>
      <c r="F466" s="63"/>
      <c r="G466" s="63"/>
      <c r="H466" s="63"/>
      <c r="I466" s="63"/>
      <c r="J466" s="63"/>
      <c r="N466" s="69"/>
    </row>
    <row r="467" spans="4:14" ht="15.75" customHeight="1">
      <c r="D467" s="63"/>
      <c r="E467" s="63"/>
      <c r="F467" s="63"/>
      <c r="G467" s="63"/>
      <c r="H467" s="63"/>
      <c r="I467" s="63"/>
      <c r="J467" s="63"/>
      <c r="N467" s="69"/>
    </row>
    <row r="468" spans="4:14" ht="15.75" customHeight="1">
      <c r="D468" s="63"/>
      <c r="E468" s="63"/>
      <c r="F468" s="63"/>
      <c r="G468" s="63"/>
      <c r="H468" s="63"/>
      <c r="I468" s="63"/>
      <c r="J468" s="63"/>
      <c r="N468" s="69"/>
    </row>
    <row r="469" spans="4:14" ht="15.75" customHeight="1">
      <c r="D469" s="63"/>
      <c r="E469" s="63"/>
      <c r="F469" s="63"/>
      <c r="G469" s="63"/>
      <c r="H469" s="63"/>
      <c r="I469" s="63"/>
      <c r="J469" s="63"/>
      <c r="N469" s="69"/>
    </row>
    <row r="470" spans="4:14" ht="15.75" customHeight="1">
      <c r="D470" s="63"/>
      <c r="E470" s="63"/>
      <c r="F470" s="63"/>
      <c r="G470" s="63"/>
      <c r="H470" s="63"/>
      <c r="I470" s="63"/>
      <c r="J470" s="63"/>
      <c r="N470" s="69"/>
    </row>
    <row r="471" spans="4:14" ht="15.75" customHeight="1">
      <c r="D471" s="63"/>
      <c r="E471" s="63"/>
      <c r="F471" s="63"/>
      <c r="G471" s="63"/>
      <c r="H471" s="63"/>
      <c r="I471" s="63"/>
      <c r="J471" s="63"/>
      <c r="N471" s="69"/>
    </row>
    <row r="472" spans="4:14" ht="15.75" customHeight="1">
      <c r="D472" s="63"/>
      <c r="E472" s="63"/>
      <c r="F472" s="63"/>
      <c r="G472" s="63"/>
      <c r="H472" s="63"/>
      <c r="I472" s="63"/>
      <c r="J472" s="63"/>
      <c r="N472" s="69"/>
    </row>
    <row r="473" spans="4:14" ht="15.75" customHeight="1">
      <c r="D473" s="63"/>
      <c r="E473" s="63"/>
      <c r="F473" s="63"/>
      <c r="G473" s="63"/>
      <c r="H473" s="63"/>
      <c r="I473" s="63"/>
      <c r="J473" s="63"/>
      <c r="N473" s="69"/>
    </row>
    <row r="474" spans="4:14" ht="15.75" customHeight="1">
      <c r="D474" s="63"/>
      <c r="E474" s="63"/>
      <c r="F474" s="63"/>
      <c r="G474" s="63"/>
      <c r="H474" s="63"/>
      <c r="I474" s="63"/>
      <c r="J474" s="63"/>
      <c r="N474" s="69"/>
    </row>
    <row r="475" spans="4:14" ht="15.75" customHeight="1">
      <c r="D475" s="63"/>
      <c r="E475" s="63"/>
      <c r="F475" s="63"/>
      <c r="G475" s="63"/>
      <c r="H475" s="63"/>
      <c r="I475" s="63"/>
      <c r="J475" s="63"/>
      <c r="N475" s="69"/>
    </row>
    <row r="476" spans="4:14" ht="15.75" customHeight="1">
      <c r="D476" s="63"/>
      <c r="E476" s="63"/>
      <c r="F476" s="63"/>
      <c r="G476" s="63"/>
      <c r="H476" s="63"/>
      <c r="I476" s="63"/>
      <c r="J476" s="63"/>
      <c r="N476" s="69"/>
    </row>
    <row r="477" spans="4:14" ht="15.75" customHeight="1">
      <c r="D477" s="63"/>
      <c r="E477" s="63"/>
      <c r="F477" s="63"/>
      <c r="G477" s="63"/>
      <c r="H477" s="63"/>
      <c r="I477" s="63"/>
      <c r="J477" s="63"/>
      <c r="N477" s="69"/>
    </row>
    <row r="478" spans="4:14" ht="15.75" customHeight="1">
      <c r="D478" s="63"/>
      <c r="E478" s="63"/>
      <c r="F478" s="63"/>
      <c r="G478" s="63"/>
      <c r="H478" s="63"/>
      <c r="I478" s="63"/>
      <c r="J478" s="63"/>
      <c r="N478" s="69"/>
    </row>
    <row r="479" spans="4:14" ht="15.75" customHeight="1">
      <c r="D479" s="63"/>
      <c r="E479" s="63"/>
      <c r="F479" s="63"/>
      <c r="G479" s="63"/>
      <c r="H479" s="63"/>
      <c r="I479" s="63"/>
      <c r="J479" s="63"/>
      <c r="N479" s="69"/>
    </row>
    <row r="480" spans="4:14" ht="15.75" customHeight="1">
      <c r="D480" s="63"/>
      <c r="E480" s="63"/>
      <c r="F480" s="63"/>
      <c r="G480" s="63"/>
      <c r="H480" s="63"/>
      <c r="I480" s="63"/>
      <c r="J480" s="63"/>
      <c r="N480" s="69"/>
    </row>
    <row r="481" spans="4:14" ht="15.75" customHeight="1">
      <c r="D481" s="63"/>
      <c r="E481" s="63"/>
      <c r="F481" s="63"/>
      <c r="G481" s="63"/>
      <c r="H481" s="63"/>
      <c r="I481" s="63"/>
      <c r="J481" s="63"/>
      <c r="N481" s="69"/>
    </row>
    <row r="482" spans="4:14" ht="15.75" customHeight="1">
      <c r="D482" s="63"/>
      <c r="E482" s="63"/>
      <c r="F482" s="63"/>
      <c r="G482" s="63"/>
      <c r="H482" s="63"/>
      <c r="I482" s="63"/>
      <c r="J482" s="63"/>
      <c r="N482" s="69"/>
    </row>
    <row r="483" spans="4:14" ht="15.75" customHeight="1">
      <c r="D483" s="63"/>
      <c r="E483" s="63"/>
      <c r="F483" s="63"/>
      <c r="G483" s="63"/>
      <c r="H483" s="63"/>
      <c r="I483" s="63"/>
      <c r="J483" s="63"/>
      <c r="N483" s="69"/>
    </row>
    <row r="484" spans="4:14" ht="15.75" customHeight="1">
      <c r="D484" s="63"/>
      <c r="E484" s="63"/>
      <c r="F484" s="63"/>
      <c r="G484" s="63"/>
      <c r="H484" s="63"/>
      <c r="I484" s="63"/>
      <c r="J484" s="63"/>
      <c r="N484" s="69"/>
    </row>
    <row r="485" spans="4:14" ht="15.75" customHeight="1">
      <c r="D485" s="63"/>
      <c r="E485" s="63"/>
      <c r="F485" s="63"/>
      <c r="G485" s="63"/>
      <c r="H485" s="63"/>
      <c r="I485" s="63"/>
      <c r="J485" s="63"/>
      <c r="N485" s="69"/>
    </row>
    <row r="486" spans="4:14" ht="15.75" customHeight="1">
      <c r="D486" s="63"/>
      <c r="E486" s="63"/>
      <c r="F486" s="63"/>
      <c r="G486" s="63"/>
      <c r="H486" s="63"/>
      <c r="I486" s="63"/>
      <c r="J486" s="63"/>
      <c r="N486" s="69"/>
    </row>
    <row r="487" spans="4:14" ht="15.75" customHeight="1">
      <c r="D487" s="63"/>
      <c r="E487" s="63"/>
      <c r="F487" s="63"/>
      <c r="G487" s="63"/>
      <c r="H487" s="63"/>
      <c r="I487" s="63"/>
      <c r="J487" s="63"/>
      <c r="N487" s="69"/>
    </row>
    <row r="488" spans="4:14" ht="15.75" customHeight="1">
      <c r="D488" s="63"/>
      <c r="E488" s="63"/>
      <c r="F488" s="63"/>
      <c r="G488" s="63"/>
      <c r="H488" s="63"/>
      <c r="I488" s="63"/>
      <c r="J488" s="63"/>
      <c r="N488" s="69"/>
    </row>
    <row r="489" spans="4:14" ht="15.75" customHeight="1">
      <c r="D489" s="63"/>
      <c r="E489" s="63"/>
      <c r="F489" s="63"/>
      <c r="G489" s="63"/>
      <c r="H489" s="63"/>
      <c r="I489" s="63"/>
      <c r="J489" s="63"/>
      <c r="N489" s="69"/>
    </row>
    <row r="490" spans="4:14" ht="15.75" customHeight="1">
      <c r="D490" s="63"/>
      <c r="E490" s="63"/>
      <c r="F490" s="63"/>
      <c r="G490" s="63"/>
      <c r="H490" s="63"/>
      <c r="I490" s="63"/>
      <c r="J490" s="63"/>
      <c r="N490" s="69"/>
    </row>
    <row r="491" spans="4:14" ht="15.75" customHeight="1">
      <c r="D491" s="63"/>
      <c r="E491" s="63"/>
      <c r="F491" s="63"/>
      <c r="G491" s="63"/>
      <c r="H491" s="63"/>
      <c r="I491" s="63"/>
      <c r="J491" s="63"/>
      <c r="N491" s="69"/>
    </row>
    <row r="492" spans="4:14" ht="15.75" customHeight="1">
      <c r="D492" s="63"/>
      <c r="E492" s="63"/>
      <c r="F492" s="63"/>
      <c r="G492" s="63"/>
      <c r="H492" s="63"/>
      <c r="I492" s="63"/>
      <c r="J492" s="63"/>
      <c r="N492" s="69"/>
    </row>
    <row r="493" spans="4:14" ht="15.75" customHeight="1">
      <c r="D493" s="63"/>
      <c r="E493" s="63"/>
      <c r="F493" s="63"/>
      <c r="G493" s="63"/>
      <c r="H493" s="63"/>
      <c r="I493" s="63"/>
      <c r="J493" s="63"/>
      <c r="N493" s="69"/>
    </row>
    <row r="494" spans="4:14" ht="15.75" customHeight="1">
      <c r="D494" s="63"/>
      <c r="E494" s="63"/>
      <c r="F494" s="63"/>
      <c r="G494" s="63"/>
      <c r="H494" s="63"/>
      <c r="I494" s="63"/>
      <c r="J494" s="63"/>
      <c r="N494" s="69"/>
    </row>
    <row r="495" spans="4:14" ht="15.75" customHeight="1">
      <c r="D495" s="63"/>
      <c r="E495" s="63"/>
      <c r="F495" s="63"/>
      <c r="G495" s="63"/>
      <c r="H495" s="63"/>
      <c r="I495" s="63"/>
      <c r="J495" s="63"/>
      <c r="N495" s="69"/>
    </row>
    <row r="496" spans="4:14" ht="15.75" customHeight="1">
      <c r="D496" s="63"/>
      <c r="E496" s="63"/>
      <c r="F496" s="63"/>
      <c r="G496" s="63"/>
      <c r="H496" s="63"/>
      <c r="I496" s="63"/>
      <c r="J496" s="63"/>
      <c r="N496" s="69"/>
    </row>
    <row r="497" spans="4:14" ht="15.75" customHeight="1">
      <c r="D497" s="63"/>
      <c r="E497" s="63"/>
      <c r="F497" s="63"/>
      <c r="G497" s="63"/>
      <c r="H497" s="63"/>
      <c r="I497" s="63"/>
      <c r="J497" s="63"/>
      <c r="N497" s="69"/>
    </row>
    <row r="498" spans="4:14" ht="15.75" customHeight="1">
      <c r="D498" s="63"/>
      <c r="E498" s="63"/>
      <c r="F498" s="63"/>
      <c r="G498" s="63"/>
      <c r="H498" s="63"/>
      <c r="I498" s="63"/>
      <c r="J498" s="63"/>
      <c r="N498" s="69"/>
    </row>
    <row r="499" spans="4:14" ht="15.75" customHeight="1">
      <c r="D499" s="63"/>
      <c r="E499" s="63"/>
      <c r="F499" s="63"/>
      <c r="G499" s="63"/>
      <c r="H499" s="63"/>
      <c r="I499" s="63"/>
      <c r="J499" s="63"/>
      <c r="N499" s="69"/>
    </row>
    <row r="500" spans="4:14" ht="15.75" customHeight="1">
      <c r="D500" s="63"/>
      <c r="E500" s="63"/>
      <c r="F500" s="63"/>
      <c r="G500" s="63"/>
      <c r="H500" s="63"/>
      <c r="I500" s="63"/>
      <c r="J500" s="63"/>
      <c r="N500" s="69"/>
    </row>
    <row r="501" spans="4:14" ht="15.75" customHeight="1">
      <c r="D501" s="63"/>
      <c r="E501" s="63"/>
      <c r="F501" s="63"/>
      <c r="G501" s="63"/>
      <c r="H501" s="63"/>
      <c r="I501" s="63"/>
      <c r="J501" s="63"/>
      <c r="N501" s="69"/>
    </row>
    <row r="502" spans="4:14" ht="15.75" customHeight="1">
      <c r="D502" s="63"/>
      <c r="E502" s="63"/>
      <c r="F502" s="63"/>
      <c r="G502" s="63"/>
      <c r="H502" s="63"/>
      <c r="I502" s="63"/>
      <c r="J502" s="63"/>
      <c r="N502" s="69"/>
    </row>
    <row r="503" spans="4:14" ht="15.75" customHeight="1">
      <c r="D503" s="63"/>
      <c r="E503" s="63"/>
      <c r="F503" s="63"/>
      <c r="G503" s="63"/>
      <c r="H503" s="63"/>
      <c r="I503" s="63"/>
      <c r="J503" s="63"/>
      <c r="N503" s="69"/>
    </row>
    <row r="504" spans="4:14" ht="15.75" customHeight="1">
      <c r="D504" s="63"/>
      <c r="E504" s="63"/>
      <c r="F504" s="63"/>
      <c r="G504" s="63"/>
      <c r="H504" s="63"/>
      <c r="I504" s="63"/>
      <c r="J504" s="63"/>
      <c r="N504" s="69"/>
    </row>
    <row r="505" spans="4:14" ht="15.75" customHeight="1">
      <c r="D505" s="63"/>
      <c r="E505" s="63"/>
      <c r="F505" s="63"/>
      <c r="G505" s="63"/>
      <c r="H505" s="63"/>
      <c r="I505" s="63"/>
      <c r="J505" s="63"/>
      <c r="N505" s="69"/>
    </row>
    <row r="506" spans="4:14" ht="15.75" customHeight="1">
      <c r="D506" s="63"/>
      <c r="E506" s="63"/>
      <c r="F506" s="63"/>
      <c r="G506" s="63"/>
      <c r="H506" s="63"/>
      <c r="I506" s="63"/>
      <c r="J506" s="63"/>
      <c r="N506" s="69"/>
    </row>
    <row r="507" spans="4:14" ht="15.75" customHeight="1">
      <c r="D507" s="63"/>
      <c r="E507" s="63"/>
      <c r="F507" s="63"/>
      <c r="G507" s="63"/>
      <c r="H507" s="63"/>
      <c r="I507" s="63"/>
      <c r="J507" s="63"/>
      <c r="N507" s="69"/>
    </row>
    <row r="508" spans="4:14" ht="15.75" customHeight="1">
      <c r="D508" s="63"/>
      <c r="E508" s="63"/>
      <c r="F508" s="63"/>
      <c r="G508" s="63"/>
      <c r="H508" s="63"/>
      <c r="I508" s="63"/>
      <c r="J508" s="63"/>
      <c r="N508" s="69"/>
    </row>
    <row r="509" spans="4:14" ht="15.75" customHeight="1">
      <c r="D509" s="63"/>
      <c r="E509" s="63"/>
      <c r="F509" s="63"/>
      <c r="G509" s="63"/>
      <c r="H509" s="63"/>
      <c r="I509" s="63"/>
      <c r="J509" s="63"/>
      <c r="N509" s="69"/>
    </row>
    <row r="510" spans="4:14" ht="15.75" customHeight="1">
      <c r="D510" s="63"/>
      <c r="E510" s="63"/>
      <c r="F510" s="63"/>
      <c r="G510" s="63"/>
      <c r="H510" s="63"/>
      <c r="I510" s="63"/>
      <c r="J510" s="63"/>
      <c r="N510" s="69"/>
    </row>
    <row r="511" spans="4:14" ht="15.75" customHeight="1">
      <c r="D511" s="63"/>
      <c r="E511" s="63"/>
      <c r="F511" s="63"/>
      <c r="G511" s="63"/>
      <c r="H511" s="63"/>
      <c r="I511" s="63"/>
      <c r="J511" s="63"/>
      <c r="N511" s="69"/>
    </row>
    <row r="512" spans="4:14" ht="15.75" customHeight="1">
      <c r="D512" s="63"/>
      <c r="E512" s="63"/>
      <c r="F512" s="63"/>
      <c r="G512" s="63"/>
      <c r="H512" s="63"/>
      <c r="I512" s="63"/>
      <c r="J512" s="63"/>
      <c r="N512" s="69"/>
    </row>
    <row r="513" spans="4:14" ht="15.75" customHeight="1">
      <c r="D513" s="63"/>
      <c r="E513" s="63"/>
      <c r="F513" s="63"/>
      <c r="G513" s="63"/>
      <c r="H513" s="63"/>
      <c r="I513" s="63"/>
      <c r="J513" s="63"/>
      <c r="N513" s="69"/>
    </row>
    <row r="514" spans="4:14" ht="15.75" customHeight="1">
      <c r="D514" s="63"/>
      <c r="E514" s="63"/>
      <c r="F514" s="63"/>
      <c r="G514" s="63"/>
      <c r="H514" s="63"/>
      <c r="I514" s="63"/>
      <c r="J514" s="63"/>
      <c r="N514" s="69"/>
    </row>
    <row r="515" spans="4:14" ht="15.75" customHeight="1">
      <c r="D515" s="63"/>
      <c r="E515" s="63"/>
      <c r="F515" s="63"/>
      <c r="G515" s="63"/>
      <c r="H515" s="63"/>
      <c r="I515" s="63"/>
      <c r="J515" s="63"/>
      <c r="N515" s="69"/>
    </row>
    <row r="516" spans="4:14" ht="15.75" customHeight="1">
      <c r="D516" s="63"/>
      <c r="E516" s="63"/>
      <c r="F516" s="63"/>
      <c r="G516" s="63"/>
      <c r="H516" s="63"/>
      <c r="I516" s="63"/>
      <c r="J516" s="63"/>
      <c r="N516" s="69"/>
    </row>
    <row r="517" spans="4:14" ht="15.75" customHeight="1">
      <c r="D517" s="63"/>
      <c r="E517" s="63"/>
      <c r="F517" s="63"/>
      <c r="G517" s="63"/>
      <c r="H517" s="63"/>
      <c r="I517" s="63"/>
      <c r="J517" s="63"/>
      <c r="N517" s="69"/>
    </row>
    <row r="518" spans="4:14" ht="15.75" customHeight="1">
      <c r="D518" s="63"/>
      <c r="E518" s="63"/>
      <c r="F518" s="63"/>
      <c r="G518" s="63"/>
      <c r="H518" s="63"/>
      <c r="I518" s="63"/>
      <c r="J518" s="63"/>
      <c r="N518" s="69"/>
    </row>
    <row r="519" spans="4:14" ht="15.75" customHeight="1">
      <c r="D519" s="63"/>
      <c r="E519" s="63"/>
      <c r="F519" s="63"/>
      <c r="G519" s="63"/>
      <c r="H519" s="63"/>
      <c r="I519" s="63"/>
      <c r="J519" s="63"/>
      <c r="N519" s="69"/>
    </row>
    <row r="520" spans="4:14" ht="15.75" customHeight="1">
      <c r="D520" s="63"/>
      <c r="E520" s="63"/>
      <c r="F520" s="63"/>
      <c r="G520" s="63"/>
      <c r="H520" s="63"/>
      <c r="I520" s="63"/>
      <c r="J520" s="63"/>
      <c r="N520" s="69"/>
    </row>
    <row r="521" spans="4:14" ht="15.75" customHeight="1">
      <c r="D521" s="63"/>
      <c r="E521" s="63"/>
      <c r="F521" s="63"/>
      <c r="G521" s="63"/>
      <c r="H521" s="63"/>
      <c r="I521" s="63"/>
      <c r="J521" s="63"/>
      <c r="N521" s="69"/>
    </row>
    <row r="522" spans="4:14" ht="15.75" customHeight="1">
      <c r="D522" s="63"/>
      <c r="E522" s="63"/>
      <c r="F522" s="63"/>
      <c r="G522" s="63"/>
      <c r="H522" s="63"/>
      <c r="I522" s="63"/>
      <c r="J522" s="63"/>
      <c r="N522" s="69"/>
    </row>
    <row r="523" spans="4:14" ht="15.75" customHeight="1">
      <c r="D523" s="63"/>
      <c r="E523" s="63"/>
      <c r="F523" s="63"/>
      <c r="G523" s="63"/>
      <c r="H523" s="63"/>
      <c r="I523" s="63"/>
      <c r="J523" s="63"/>
      <c r="N523" s="69"/>
    </row>
    <row r="524" spans="4:14" ht="15.75" customHeight="1">
      <c r="D524" s="63"/>
      <c r="E524" s="63"/>
      <c r="F524" s="63"/>
      <c r="G524" s="63"/>
      <c r="H524" s="63"/>
      <c r="I524" s="63"/>
      <c r="J524" s="63"/>
      <c r="N524" s="69"/>
    </row>
    <row r="525" spans="4:14" ht="15.75" customHeight="1">
      <c r="D525" s="63"/>
      <c r="E525" s="63"/>
      <c r="F525" s="63"/>
      <c r="G525" s="63"/>
      <c r="H525" s="63"/>
      <c r="I525" s="63"/>
      <c r="J525" s="63"/>
      <c r="N525" s="69"/>
    </row>
    <row r="526" spans="4:14" ht="15.75" customHeight="1">
      <c r="D526" s="63"/>
      <c r="E526" s="63"/>
      <c r="F526" s="63"/>
      <c r="G526" s="63"/>
      <c r="H526" s="63"/>
      <c r="I526" s="63"/>
      <c r="J526" s="63"/>
      <c r="N526" s="69"/>
    </row>
    <row r="527" spans="4:14" ht="15.75" customHeight="1">
      <c r="D527" s="63"/>
      <c r="E527" s="63"/>
      <c r="F527" s="63"/>
      <c r="G527" s="63"/>
      <c r="H527" s="63"/>
      <c r="I527" s="63"/>
      <c r="J527" s="63"/>
      <c r="N527" s="69"/>
    </row>
    <row r="528" spans="4:14" ht="15.75" customHeight="1">
      <c r="D528" s="63"/>
      <c r="E528" s="63"/>
      <c r="F528" s="63"/>
      <c r="G528" s="63"/>
      <c r="H528" s="63"/>
      <c r="I528" s="63"/>
      <c r="J528" s="63"/>
      <c r="N528" s="69"/>
    </row>
    <row r="529" spans="4:14" ht="15.75" customHeight="1">
      <c r="D529" s="63"/>
      <c r="E529" s="63"/>
      <c r="F529" s="63"/>
      <c r="G529" s="63"/>
      <c r="H529" s="63"/>
      <c r="I529" s="63"/>
      <c r="J529" s="63"/>
      <c r="N529" s="69"/>
    </row>
    <row r="530" spans="4:14" ht="15.75" customHeight="1">
      <c r="D530" s="63"/>
      <c r="E530" s="63"/>
      <c r="F530" s="63"/>
      <c r="G530" s="63"/>
      <c r="H530" s="63"/>
      <c r="I530" s="63"/>
      <c r="J530" s="63"/>
      <c r="N530" s="69"/>
    </row>
    <row r="531" spans="4:14" ht="15.75" customHeight="1">
      <c r="D531" s="63"/>
      <c r="E531" s="63"/>
      <c r="F531" s="63"/>
      <c r="G531" s="63"/>
      <c r="H531" s="63"/>
      <c r="I531" s="63"/>
      <c r="J531" s="63"/>
      <c r="N531" s="69"/>
    </row>
    <row r="532" spans="4:14" ht="15.75" customHeight="1">
      <c r="D532" s="63"/>
      <c r="E532" s="63"/>
      <c r="F532" s="63"/>
      <c r="G532" s="63"/>
      <c r="H532" s="63"/>
      <c r="I532" s="63"/>
      <c r="J532" s="63"/>
      <c r="N532" s="69"/>
    </row>
    <row r="533" spans="4:14" ht="15.75" customHeight="1">
      <c r="D533" s="63"/>
      <c r="E533" s="63"/>
      <c r="F533" s="63"/>
      <c r="G533" s="63"/>
      <c r="H533" s="63"/>
      <c r="I533" s="63"/>
      <c r="J533" s="63"/>
      <c r="N533" s="69"/>
    </row>
    <row r="534" spans="4:14" ht="15.75" customHeight="1">
      <c r="D534" s="63"/>
      <c r="E534" s="63"/>
      <c r="F534" s="63"/>
      <c r="G534" s="63"/>
      <c r="H534" s="63"/>
      <c r="I534" s="63"/>
      <c r="J534" s="63"/>
      <c r="N534" s="69"/>
    </row>
    <row r="535" spans="4:14" ht="15.75" customHeight="1">
      <c r="D535" s="63"/>
      <c r="E535" s="63"/>
      <c r="F535" s="63"/>
      <c r="G535" s="63"/>
      <c r="H535" s="63"/>
      <c r="I535" s="63"/>
      <c r="J535" s="63"/>
      <c r="N535" s="69"/>
    </row>
    <row r="536" spans="4:14" ht="15.75" customHeight="1">
      <c r="D536" s="63"/>
      <c r="E536" s="63"/>
      <c r="F536" s="63"/>
      <c r="G536" s="63"/>
      <c r="H536" s="63"/>
      <c r="I536" s="63"/>
      <c r="J536" s="63"/>
      <c r="N536" s="69"/>
    </row>
    <row r="537" spans="4:14" ht="15.75" customHeight="1">
      <c r="D537" s="63"/>
      <c r="E537" s="63"/>
      <c r="F537" s="63"/>
      <c r="G537" s="63"/>
      <c r="H537" s="63"/>
      <c r="I537" s="63"/>
      <c r="J537" s="63"/>
      <c r="N537" s="69"/>
    </row>
    <row r="538" spans="4:14" ht="15.75" customHeight="1">
      <c r="D538" s="63"/>
      <c r="E538" s="63"/>
      <c r="F538" s="63"/>
      <c r="G538" s="63"/>
      <c r="H538" s="63"/>
      <c r="I538" s="63"/>
      <c r="J538" s="63"/>
      <c r="N538" s="69"/>
    </row>
    <row r="539" spans="4:14" ht="15.75" customHeight="1">
      <c r="D539" s="63"/>
      <c r="E539" s="63"/>
      <c r="F539" s="63"/>
      <c r="G539" s="63"/>
      <c r="H539" s="63"/>
      <c r="I539" s="63"/>
      <c r="J539" s="63"/>
      <c r="N539" s="69"/>
    </row>
    <row r="540" spans="4:14" ht="15.75" customHeight="1">
      <c r="D540" s="63"/>
      <c r="E540" s="63"/>
      <c r="F540" s="63"/>
      <c r="G540" s="63"/>
      <c r="H540" s="63"/>
      <c r="I540" s="63"/>
      <c r="J540" s="63"/>
      <c r="N540" s="69"/>
    </row>
    <row r="541" spans="4:14" ht="15.75" customHeight="1">
      <c r="D541" s="63"/>
      <c r="E541" s="63"/>
      <c r="F541" s="63"/>
      <c r="G541" s="63"/>
      <c r="H541" s="63"/>
      <c r="I541" s="63"/>
      <c r="J541" s="63"/>
      <c r="N541" s="69"/>
    </row>
    <row r="542" spans="4:14" ht="15.75" customHeight="1">
      <c r="D542" s="63"/>
      <c r="E542" s="63"/>
      <c r="F542" s="63"/>
      <c r="G542" s="63"/>
      <c r="H542" s="63"/>
      <c r="I542" s="63"/>
      <c r="J542" s="63"/>
      <c r="N542" s="69"/>
    </row>
    <row r="543" spans="4:14" ht="15.75" customHeight="1">
      <c r="D543" s="63"/>
      <c r="E543" s="63"/>
      <c r="F543" s="63"/>
      <c r="G543" s="63"/>
      <c r="H543" s="63"/>
      <c r="I543" s="63"/>
      <c r="J543" s="63"/>
      <c r="N543" s="69"/>
    </row>
    <row r="544" spans="4:14" ht="15.75" customHeight="1">
      <c r="D544" s="63"/>
      <c r="E544" s="63"/>
      <c r="F544" s="63"/>
      <c r="G544" s="63"/>
      <c r="H544" s="63"/>
      <c r="I544" s="63"/>
      <c r="J544" s="63"/>
      <c r="N544" s="69"/>
    </row>
    <row r="545" spans="4:14" ht="15.75" customHeight="1">
      <c r="D545" s="63"/>
      <c r="E545" s="63"/>
      <c r="F545" s="63"/>
      <c r="G545" s="63"/>
      <c r="H545" s="63"/>
      <c r="I545" s="63"/>
      <c r="J545" s="63"/>
      <c r="N545" s="69"/>
    </row>
    <row r="546" spans="4:14" ht="15.75" customHeight="1">
      <c r="D546" s="63"/>
      <c r="E546" s="63"/>
      <c r="F546" s="63"/>
      <c r="G546" s="63"/>
      <c r="H546" s="63"/>
      <c r="I546" s="63"/>
      <c r="J546" s="63"/>
      <c r="N546" s="69"/>
    </row>
    <row r="547" spans="4:14" ht="15.75" customHeight="1">
      <c r="D547" s="63"/>
      <c r="E547" s="63"/>
      <c r="F547" s="63"/>
      <c r="G547" s="63"/>
      <c r="H547" s="63"/>
      <c r="I547" s="63"/>
      <c r="J547" s="63"/>
      <c r="N547" s="69"/>
    </row>
    <row r="548" spans="4:14" ht="15.75" customHeight="1">
      <c r="D548" s="63"/>
      <c r="E548" s="63"/>
      <c r="F548" s="63"/>
      <c r="G548" s="63"/>
      <c r="H548" s="63"/>
      <c r="I548" s="63"/>
      <c r="J548" s="63"/>
      <c r="N548" s="69"/>
    </row>
    <row r="549" spans="4:14" ht="15.75" customHeight="1">
      <c r="D549" s="63"/>
      <c r="E549" s="63"/>
      <c r="F549" s="63"/>
      <c r="G549" s="63"/>
      <c r="H549" s="63"/>
      <c r="I549" s="63"/>
      <c r="J549" s="63"/>
      <c r="N549" s="69"/>
    </row>
    <row r="550" spans="4:14" ht="15.75" customHeight="1">
      <c r="D550" s="63"/>
      <c r="E550" s="63"/>
      <c r="F550" s="63"/>
      <c r="G550" s="63"/>
      <c r="H550" s="63"/>
      <c r="I550" s="63"/>
      <c r="J550" s="63"/>
      <c r="N550" s="69"/>
    </row>
    <row r="551" spans="4:14" ht="15.75" customHeight="1">
      <c r="D551" s="63"/>
      <c r="E551" s="63"/>
      <c r="F551" s="63"/>
      <c r="G551" s="63"/>
      <c r="H551" s="63"/>
      <c r="I551" s="63"/>
      <c r="J551" s="63"/>
      <c r="N551" s="69"/>
    </row>
    <row r="552" spans="4:14" ht="15.75" customHeight="1">
      <c r="D552" s="63"/>
      <c r="E552" s="63"/>
      <c r="F552" s="63"/>
      <c r="G552" s="63"/>
      <c r="H552" s="63"/>
      <c r="I552" s="63"/>
      <c r="J552" s="63"/>
      <c r="N552" s="69"/>
    </row>
    <row r="553" spans="4:14" ht="15.75" customHeight="1">
      <c r="D553" s="63"/>
      <c r="E553" s="63"/>
      <c r="F553" s="63"/>
      <c r="G553" s="63"/>
      <c r="H553" s="63"/>
      <c r="I553" s="63"/>
      <c r="J553" s="63"/>
      <c r="N553" s="69"/>
    </row>
    <row r="554" spans="4:14" ht="15.75" customHeight="1">
      <c r="D554" s="63"/>
      <c r="E554" s="63"/>
      <c r="F554" s="63"/>
      <c r="G554" s="63"/>
      <c r="H554" s="63"/>
      <c r="I554" s="63"/>
      <c r="J554" s="63"/>
      <c r="N554" s="69"/>
    </row>
    <row r="555" spans="4:14" ht="15.75" customHeight="1">
      <c r="D555" s="63"/>
      <c r="E555" s="63"/>
      <c r="F555" s="63"/>
      <c r="G555" s="63"/>
      <c r="H555" s="63"/>
      <c r="I555" s="63"/>
      <c r="J555" s="63"/>
      <c r="N555" s="69"/>
    </row>
    <row r="556" spans="4:14" ht="15.75" customHeight="1">
      <c r="D556" s="63"/>
      <c r="E556" s="63"/>
      <c r="F556" s="63"/>
      <c r="G556" s="63"/>
      <c r="H556" s="63"/>
      <c r="I556" s="63"/>
      <c r="J556" s="63"/>
      <c r="N556" s="69"/>
    </row>
    <row r="557" spans="4:14" ht="15.75" customHeight="1">
      <c r="D557" s="63"/>
      <c r="E557" s="63"/>
      <c r="F557" s="63"/>
      <c r="G557" s="63"/>
      <c r="H557" s="63"/>
      <c r="I557" s="63"/>
      <c r="J557" s="63"/>
      <c r="N557" s="69"/>
    </row>
    <row r="558" spans="4:14" ht="15.75" customHeight="1">
      <c r="D558" s="63"/>
      <c r="E558" s="63"/>
      <c r="F558" s="63"/>
      <c r="G558" s="63"/>
      <c r="H558" s="63"/>
      <c r="I558" s="63"/>
      <c r="J558" s="63"/>
      <c r="N558" s="69"/>
    </row>
    <row r="559" spans="4:14" ht="15.75" customHeight="1">
      <c r="D559" s="63"/>
      <c r="E559" s="63"/>
      <c r="F559" s="63"/>
      <c r="G559" s="63"/>
      <c r="H559" s="63"/>
      <c r="I559" s="63"/>
      <c r="J559" s="63"/>
      <c r="N559" s="69"/>
    </row>
    <row r="560" spans="4:14" ht="15.75" customHeight="1">
      <c r="D560" s="63"/>
      <c r="E560" s="63"/>
      <c r="F560" s="63"/>
      <c r="G560" s="63"/>
      <c r="H560" s="63"/>
      <c r="I560" s="63"/>
      <c r="J560" s="63"/>
      <c r="N560" s="69"/>
    </row>
    <row r="561" spans="4:14" ht="15.75" customHeight="1">
      <c r="D561" s="63"/>
      <c r="E561" s="63"/>
      <c r="F561" s="63"/>
      <c r="G561" s="63"/>
      <c r="H561" s="63"/>
      <c r="I561" s="63"/>
      <c r="J561" s="63"/>
      <c r="N561" s="69"/>
    </row>
    <row r="562" spans="4:14" ht="15.75" customHeight="1">
      <c r="D562" s="63"/>
      <c r="E562" s="63"/>
      <c r="F562" s="63"/>
      <c r="G562" s="63"/>
      <c r="H562" s="63"/>
      <c r="I562" s="63"/>
      <c r="J562" s="63"/>
      <c r="N562" s="69"/>
    </row>
    <row r="563" spans="4:14" ht="15.75" customHeight="1">
      <c r="D563" s="63"/>
      <c r="E563" s="63"/>
      <c r="F563" s="63"/>
      <c r="G563" s="63"/>
      <c r="H563" s="63"/>
      <c r="I563" s="63"/>
      <c r="J563" s="63"/>
      <c r="N563" s="69"/>
    </row>
    <row r="564" spans="4:14" ht="15.75" customHeight="1">
      <c r="D564" s="63"/>
      <c r="E564" s="63"/>
      <c r="F564" s="63"/>
      <c r="G564" s="63"/>
      <c r="H564" s="63"/>
      <c r="I564" s="63"/>
      <c r="J564" s="63"/>
      <c r="N564" s="69"/>
    </row>
    <row r="565" spans="4:14" ht="15.75" customHeight="1">
      <c r="D565" s="63"/>
      <c r="E565" s="63"/>
      <c r="F565" s="63"/>
      <c r="G565" s="63"/>
      <c r="H565" s="63"/>
      <c r="I565" s="63"/>
      <c r="J565" s="63"/>
      <c r="N565" s="69"/>
    </row>
    <row r="566" spans="4:14" ht="15.75" customHeight="1">
      <c r="D566" s="63"/>
      <c r="E566" s="63"/>
      <c r="F566" s="63"/>
      <c r="G566" s="63"/>
      <c r="H566" s="63"/>
      <c r="I566" s="63"/>
      <c r="J566" s="63"/>
      <c r="N566" s="69"/>
    </row>
    <row r="567" spans="4:14" ht="15.75" customHeight="1">
      <c r="D567" s="63"/>
      <c r="E567" s="63"/>
      <c r="F567" s="63"/>
      <c r="G567" s="63"/>
      <c r="H567" s="63"/>
      <c r="I567" s="63"/>
      <c r="J567" s="63"/>
      <c r="N567" s="69"/>
    </row>
    <row r="568" spans="4:14" ht="15.75" customHeight="1">
      <c r="D568" s="63"/>
      <c r="E568" s="63"/>
      <c r="F568" s="63"/>
      <c r="G568" s="63"/>
      <c r="H568" s="63"/>
      <c r="I568" s="63"/>
      <c r="J568" s="63"/>
      <c r="N568" s="69"/>
    </row>
    <row r="569" spans="4:14" ht="15.75" customHeight="1">
      <c r="D569" s="63"/>
      <c r="E569" s="63"/>
      <c r="F569" s="63"/>
      <c r="G569" s="63"/>
      <c r="H569" s="63"/>
      <c r="I569" s="63"/>
      <c r="J569" s="63"/>
      <c r="N569" s="69"/>
    </row>
    <row r="570" spans="4:14" ht="15.75" customHeight="1">
      <c r="D570" s="63"/>
      <c r="E570" s="63"/>
      <c r="F570" s="63"/>
      <c r="G570" s="63"/>
      <c r="H570" s="63"/>
      <c r="I570" s="63"/>
      <c r="J570" s="63"/>
      <c r="N570" s="69"/>
    </row>
    <row r="571" spans="4:14" ht="15.75" customHeight="1">
      <c r="D571" s="63"/>
      <c r="E571" s="63"/>
      <c r="F571" s="63"/>
      <c r="G571" s="63"/>
      <c r="H571" s="63"/>
      <c r="I571" s="63"/>
      <c r="J571" s="63"/>
      <c r="N571" s="69"/>
    </row>
    <row r="572" spans="4:14" ht="15.75" customHeight="1">
      <c r="D572" s="63"/>
      <c r="E572" s="63"/>
      <c r="F572" s="63"/>
      <c r="G572" s="63"/>
      <c r="H572" s="63"/>
      <c r="I572" s="63"/>
      <c r="J572" s="63"/>
      <c r="N572" s="69"/>
    </row>
    <row r="573" spans="4:14" ht="15.75" customHeight="1">
      <c r="D573" s="63"/>
      <c r="E573" s="63"/>
      <c r="F573" s="63"/>
      <c r="G573" s="63"/>
      <c r="H573" s="63"/>
      <c r="I573" s="63"/>
      <c r="J573" s="63"/>
      <c r="N573" s="69"/>
    </row>
    <row r="574" spans="4:14" ht="15.75" customHeight="1">
      <c r="D574" s="63"/>
      <c r="E574" s="63"/>
      <c r="F574" s="63"/>
      <c r="G574" s="63"/>
      <c r="H574" s="63"/>
      <c r="I574" s="63"/>
      <c r="J574" s="63"/>
      <c r="N574" s="69"/>
    </row>
    <row r="575" spans="4:14" ht="15.75" customHeight="1">
      <c r="D575" s="63"/>
      <c r="E575" s="63"/>
      <c r="F575" s="63"/>
      <c r="G575" s="63"/>
      <c r="H575" s="63"/>
      <c r="I575" s="63"/>
      <c r="J575" s="63"/>
      <c r="N575" s="69"/>
    </row>
    <row r="576" spans="4:14" ht="15.75" customHeight="1">
      <c r="D576" s="63"/>
      <c r="E576" s="63"/>
      <c r="F576" s="63"/>
      <c r="G576" s="63"/>
      <c r="H576" s="63"/>
      <c r="I576" s="63"/>
      <c r="J576" s="63"/>
      <c r="N576" s="69"/>
    </row>
    <row r="577" spans="4:14" ht="15.75" customHeight="1">
      <c r="D577" s="63"/>
      <c r="E577" s="63"/>
      <c r="F577" s="63"/>
      <c r="G577" s="63"/>
      <c r="H577" s="63"/>
      <c r="I577" s="63"/>
      <c r="J577" s="63"/>
      <c r="N577" s="69"/>
    </row>
    <row r="578" spans="4:14" ht="15.75" customHeight="1">
      <c r="D578" s="63"/>
      <c r="E578" s="63"/>
      <c r="F578" s="63"/>
      <c r="G578" s="63"/>
      <c r="H578" s="63"/>
      <c r="I578" s="63"/>
      <c r="J578" s="63"/>
      <c r="N578" s="69"/>
    </row>
    <row r="579" spans="4:14" ht="15.75" customHeight="1">
      <c r="D579" s="63"/>
      <c r="E579" s="63"/>
      <c r="F579" s="63"/>
      <c r="G579" s="63"/>
      <c r="H579" s="63"/>
      <c r="I579" s="63"/>
      <c r="J579" s="63"/>
      <c r="N579" s="69"/>
    </row>
    <row r="580" spans="4:14" ht="15.75" customHeight="1">
      <c r="D580" s="63"/>
      <c r="E580" s="63"/>
      <c r="F580" s="63"/>
      <c r="G580" s="63"/>
      <c r="H580" s="63"/>
      <c r="I580" s="63"/>
      <c r="J580" s="63"/>
      <c r="N580" s="69"/>
    </row>
    <row r="581" spans="4:14" ht="15.75" customHeight="1">
      <c r="D581" s="63"/>
      <c r="E581" s="63"/>
      <c r="F581" s="63"/>
      <c r="G581" s="63"/>
      <c r="H581" s="63"/>
      <c r="I581" s="63"/>
      <c r="J581" s="63"/>
      <c r="N581" s="69"/>
    </row>
    <row r="582" spans="4:14" ht="15.75" customHeight="1">
      <c r="D582" s="63"/>
      <c r="E582" s="63"/>
      <c r="F582" s="63"/>
      <c r="G582" s="63"/>
      <c r="H582" s="63"/>
      <c r="I582" s="63"/>
      <c r="J582" s="63"/>
      <c r="N582" s="69"/>
    </row>
    <row r="583" spans="4:14" ht="15.75" customHeight="1">
      <c r="D583" s="63"/>
      <c r="E583" s="63"/>
      <c r="F583" s="63"/>
      <c r="G583" s="63"/>
      <c r="H583" s="63"/>
      <c r="I583" s="63"/>
      <c r="J583" s="63"/>
      <c r="N583" s="69"/>
    </row>
    <row r="584" spans="4:14" ht="15.75" customHeight="1">
      <c r="D584" s="63"/>
      <c r="E584" s="63"/>
      <c r="F584" s="63"/>
      <c r="G584" s="63"/>
      <c r="H584" s="63"/>
      <c r="I584" s="63"/>
      <c r="J584" s="63"/>
      <c r="N584" s="69"/>
    </row>
    <row r="585" spans="4:14" ht="15.75" customHeight="1">
      <c r="D585" s="63"/>
      <c r="E585" s="63"/>
      <c r="F585" s="63"/>
      <c r="G585" s="63"/>
      <c r="H585" s="63"/>
      <c r="I585" s="63"/>
      <c r="J585" s="63"/>
      <c r="N585" s="69"/>
    </row>
    <row r="586" spans="4:14" ht="15.75" customHeight="1">
      <c r="D586" s="63"/>
      <c r="E586" s="63"/>
      <c r="F586" s="63"/>
      <c r="G586" s="63"/>
      <c r="H586" s="63"/>
      <c r="I586" s="63"/>
      <c r="J586" s="63"/>
      <c r="N586" s="69"/>
    </row>
    <row r="587" spans="4:14" ht="15.75" customHeight="1">
      <c r="D587" s="63"/>
      <c r="E587" s="63"/>
      <c r="F587" s="63"/>
      <c r="G587" s="63"/>
      <c r="H587" s="63"/>
      <c r="I587" s="63"/>
      <c r="J587" s="63"/>
      <c r="N587" s="69"/>
    </row>
    <row r="588" spans="4:14" ht="15.75" customHeight="1">
      <c r="D588" s="63"/>
      <c r="E588" s="63"/>
      <c r="F588" s="63"/>
      <c r="G588" s="63"/>
      <c r="H588" s="63"/>
      <c r="I588" s="63"/>
      <c r="J588" s="63"/>
      <c r="N588" s="69"/>
    </row>
    <row r="589" spans="4:14" ht="15.75" customHeight="1">
      <c r="D589" s="63"/>
      <c r="E589" s="63"/>
      <c r="F589" s="63"/>
      <c r="G589" s="63"/>
      <c r="H589" s="63"/>
      <c r="I589" s="63"/>
      <c r="J589" s="63"/>
      <c r="N589" s="69"/>
    </row>
    <row r="590" spans="4:14" ht="15.75" customHeight="1">
      <c r="D590" s="63"/>
      <c r="E590" s="63"/>
      <c r="F590" s="63"/>
      <c r="G590" s="63"/>
      <c r="H590" s="63"/>
      <c r="I590" s="63"/>
      <c r="J590" s="63"/>
      <c r="N590" s="69"/>
    </row>
    <row r="591" spans="4:14" ht="15.75" customHeight="1">
      <c r="D591" s="63"/>
      <c r="E591" s="63"/>
      <c r="F591" s="63"/>
      <c r="G591" s="63"/>
      <c r="H591" s="63"/>
      <c r="I591" s="63"/>
      <c r="J591" s="63"/>
      <c r="N591" s="69"/>
    </row>
    <row r="592" spans="4:14" ht="15.75" customHeight="1">
      <c r="D592" s="63"/>
      <c r="E592" s="63"/>
      <c r="F592" s="63"/>
      <c r="G592" s="63"/>
      <c r="H592" s="63"/>
      <c r="I592" s="63"/>
      <c r="J592" s="63"/>
      <c r="N592" s="69"/>
    </row>
    <row r="593" spans="4:14" ht="15.75" customHeight="1">
      <c r="D593" s="63"/>
      <c r="E593" s="63"/>
      <c r="F593" s="63"/>
      <c r="G593" s="63"/>
      <c r="H593" s="63"/>
      <c r="I593" s="63"/>
      <c r="J593" s="63"/>
      <c r="N593" s="69"/>
    </row>
    <row r="594" spans="4:14" ht="15.75" customHeight="1">
      <c r="D594" s="63"/>
      <c r="E594" s="63"/>
      <c r="F594" s="63"/>
      <c r="G594" s="63"/>
      <c r="H594" s="63"/>
      <c r="I594" s="63"/>
      <c r="J594" s="63"/>
      <c r="N594" s="69"/>
    </row>
    <row r="595" spans="4:14" ht="15.75" customHeight="1">
      <c r="D595" s="63"/>
      <c r="E595" s="63"/>
      <c r="F595" s="63"/>
      <c r="G595" s="63"/>
      <c r="H595" s="63"/>
      <c r="I595" s="63"/>
      <c r="J595" s="63"/>
      <c r="N595" s="69"/>
    </row>
    <row r="596" spans="4:14" ht="15.75" customHeight="1">
      <c r="D596" s="63"/>
      <c r="E596" s="63"/>
      <c r="F596" s="63"/>
      <c r="G596" s="63"/>
      <c r="H596" s="63"/>
      <c r="I596" s="63"/>
      <c r="J596" s="63"/>
      <c r="N596" s="69"/>
    </row>
    <row r="597" spans="4:14" ht="15.75" customHeight="1">
      <c r="D597" s="63"/>
      <c r="E597" s="63"/>
      <c r="F597" s="63"/>
      <c r="G597" s="63"/>
      <c r="H597" s="63"/>
      <c r="I597" s="63"/>
      <c r="J597" s="63"/>
      <c r="N597" s="69"/>
    </row>
    <row r="598" spans="4:14" ht="15.75" customHeight="1">
      <c r="D598" s="63"/>
      <c r="E598" s="63"/>
      <c r="F598" s="63"/>
      <c r="G598" s="63"/>
      <c r="H598" s="63"/>
      <c r="I598" s="63"/>
      <c r="J598" s="63"/>
      <c r="N598" s="69"/>
    </row>
    <row r="599" spans="4:14" ht="15.75" customHeight="1">
      <c r="D599" s="63"/>
      <c r="E599" s="63"/>
      <c r="F599" s="63"/>
      <c r="G599" s="63"/>
      <c r="H599" s="63"/>
      <c r="I599" s="63"/>
      <c r="J599" s="63"/>
      <c r="N599" s="69"/>
    </row>
    <row r="600" spans="4:14" ht="15.75" customHeight="1">
      <c r="D600" s="63"/>
      <c r="E600" s="63"/>
      <c r="F600" s="63"/>
      <c r="G600" s="63"/>
      <c r="H600" s="63"/>
      <c r="I600" s="63"/>
      <c r="J600" s="63"/>
      <c r="N600" s="69"/>
    </row>
    <row r="601" spans="4:14" ht="15.75" customHeight="1">
      <c r="D601" s="63"/>
      <c r="E601" s="63"/>
      <c r="F601" s="63"/>
      <c r="G601" s="63"/>
      <c r="H601" s="63"/>
      <c r="I601" s="63"/>
      <c r="J601" s="63"/>
      <c r="N601" s="69"/>
    </row>
    <row r="602" spans="4:14" ht="15.75" customHeight="1">
      <c r="D602" s="63"/>
      <c r="E602" s="63"/>
      <c r="F602" s="63"/>
      <c r="G602" s="63"/>
      <c r="H602" s="63"/>
      <c r="I602" s="63"/>
      <c r="J602" s="63"/>
      <c r="N602" s="69"/>
    </row>
    <row r="603" spans="4:14" ht="15.75" customHeight="1">
      <c r="D603" s="63"/>
      <c r="E603" s="63"/>
      <c r="F603" s="63"/>
      <c r="G603" s="63"/>
      <c r="H603" s="63"/>
      <c r="I603" s="63"/>
      <c r="J603" s="63"/>
      <c r="N603" s="69"/>
    </row>
    <row r="604" spans="4:14" ht="15.75" customHeight="1">
      <c r="D604" s="63"/>
      <c r="E604" s="63"/>
      <c r="F604" s="63"/>
      <c r="G604" s="63"/>
      <c r="H604" s="63"/>
      <c r="I604" s="63"/>
      <c r="J604" s="63"/>
      <c r="N604" s="69"/>
    </row>
    <row r="605" spans="4:14" ht="15.75" customHeight="1">
      <c r="D605" s="63"/>
      <c r="E605" s="63"/>
      <c r="F605" s="63"/>
      <c r="G605" s="63"/>
      <c r="H605" s="63"/>
      <c r="I605" s="63"/>
      <c r="J605" s="63"/>
      <c r="N605" s="69"/>
    </row>
    <row r="606" spans="4:14" ht="15.75" customHeight="1">
      <c r="D606" s="63"/>
      <c r="E606" s="63"/>
      <c r="F606" s="63"/>
      <c r="G606" s="63"/>
      <c r="H606" s="63"/>
      <c r="I606" s="63"/>
      <c r="J606" s="63"/>
      <c r="N606" s="69"/>
    </row>
    <row r="607" spans="4:14" ht="15.75" customHeight="1">
      <c r="D607" s="63"/>
      <c r="E607" s="63"/>
      <c r="F607" s="63"/>
      <c r="G607" s="63"/>
      <c r="H607" s="63"/>
      <c r="I607" s="63"/>
      <c r="J607" s="63"/>
      <c r="N607" s="69"/>
    </row>
    <row r="608" spans="4:14" ht="15.75" customHeight="1">
      <c r="D608" s="63"/>
      <c r="E608" s="63"/>
      <c r="F608" s="63"/>
      <c r="G608" s="63"/>
      <c r="H608" s="63"/>
      <c r="I608" s="63"/>
      <c r="J608" s="63"/>
      <c r="N608" s="69"/>
    </row>
    <row r="609" spans="4:14" ht="15.75" customHeight="1">
      <c r="D609" s="63"/>
      <c r="E609" s="63"/>
      <c r="F609" s="63"/>
      <c r="G609" s="63"/>
      <c r="H609" s="63"/>
      <c r="I609" s="63"/>
      <c r="J609" s="63"/>
      <c r="N609" s="69"/>
    </row>
    <row r="610" spans="4:14" ht="15.75" customHeight="1">
      <c r="D610" s="63"/>
      <c r="E610" s="63"/>
      <c r="F610" s="63"/>
      <c r="G610" s="63"/>
      <c r="H610" s="63"/>
      <c r="I610" s="63"/>
      <c r="J610" s="63"/>
      <c r="N610" s="69"/>
    </row>
    <row r="611" spans="4:14" ht="15.75" customHeight="1">
      <c r="D611" s="63"/>
      <c r="E611" s="63"/>
      <c r="F611" s="63"/>
      <c r="G611" s="63"/>
      <c r="H611" s="63"/>
      <c r="I611" s="63"/>
      <c r="J611" s="63"/>
      <c r="N611" s="69"/>
    </row>
    <row r="612" spans="4:14" ht="15.75" customHeight="1">
      <c r="D612" s="63"/>
      <c r="E612" s="63"/>
      <c r="F612" s="63"/>
      <c r="G612" s="63"/>
      <c r="H612" s="63"/>
      <c r="I612" s="63"/>
      <c r="J612" s="63"/>
      <c r="N612" s="69"/>
    </row>
    <row r="613" spans="4:14" ht="15.75" customHeight="1">
      <c r="D613" s="63"/>
      <c r="E613" s="63"/>
      <c r="F613" s="63"/>
      <c r="G613" s="63"/>
      <c r="H613" s="63"/>
      <c r="I613" s="63"/>
      <c r="J613" s="63"/>
      <c r="N613" s="69"/>
    </row>
    <row r="614" spans="4:14" ht="15.75" customHeight="1">
      <c r="D614" s="63"/>
      <c r="E614" s="63"/>
      <c r="F614" s="63"/>
      <c r="G614" s="63"/>
      <c r="H614" s="63"/>
      <c r="I614" s="63"/>
      <c r="J614" s="63"/>
      <c r="N614" s="69"/>
    </row>
    <row r="615" spans="4:14" ht="15.75" customHeight="1">
      <c r="D615" s="63"/>
      <c r="E615" s="63"/>
      <c r="F615" s="63"/>
      <c r="G615" s="63"/>
      <c r="H615" s="63"/>
      <c r="I615" s="63"/>
      <c r="J615" s="63"/>
      <c r="N615" s="69"/>
    </row>
    <row r="616" spans="4:14" ht="15.75" customHeight="1">
      <c r="D616" s="63"/>
      <c r="E616" s="63"/>
      <c r="F616" s="63"/>
      <c r="G616" s="63"/>
      <c r="H616" s="63"/>
      <c r="I616" s="63"/>
      <c r="J616" s="63"/>
      <c r="N616" s="69"/>
    </row>
    <row r="617" spans="4:14" ht="15.75" customHeight="1">
      <c r="D617" s="63"/>
      <c r="E617" s="63"/>
      <c r="F617" s="63"/>
      <c r="G617" s="63"/>
      <c r="H617" s="63"/>
      <c r="I617" s="63"/>
      <c r="J617" s="63"/>
      <c r="N617" s="69"/>
    </row>
    <row r="618" spans="4:14" ht="15.75" customHeight="1">
      <c r="D618" s="63"/>
      <c r="E618" s="63"/>
      <c r="F618" s="63"/>
      <c r="G618" s="63"/>
      <c r="H618" s="63"/>
      <c r="I618" s="63"/>
      <c r="J618" s="63"/>
      <c r="N618" s="69"/>
    </row>
    <row r="619" spans="4:14" ht="15.75" customHeight="1">
      <c r="D619" s="63"/>
      <c r="E619" s="63"/>
      <c r="F619" s="63"/>
      <c r="G619" s="63"/>
      <c r="H619" s="63"/>
      <c r="I619" s="63"/>
      <c r="J619" s="63"/>
      <c r="N619" s="69"/>
    </row>
    <row r="620" spans="4:14" ht="15.75" customHeight="1">
      <c r="D620" s="63"/>
      <c r="E620" s="63"/>
      <c r="F620" s="63"/>
      <c r="G620" s="63"/>
      <c r="H620" s="63"/>
      <c r="I620" s="63"/>
      <c r="J620" s="63"/>
      <c r="N620" s="69"/>
    </row>
    <row r="621" spans="4:14" ht="15.75" customHeight="1">
      <c r="D621" s="63"/>
      <c r="E621" s="63"/>
      <c r="F621" s="63"/>
      <c r="G621" s="63"/>
      <c r="H621" s="63"/>
      <c r="I621" s="63"/>
      <c r="J621" s="63"/>
      <c r="N621" s="69"/>
    </row>
    <row r="622" spans="4:14" ht="15.75" customHeight="1">
      <c r="D622" s="63"/>
      <c r="E622" s="63"/>
      <c r="F622" s="63"/>
      <c r="G622" s="63"/>
      <c r="H622" s="63"/>
      <c r="I622" s="63"/>
      <c r="J622" s="63"/>
      <c r="N622" s="69"/>
    </row>
    <row r="623" spans="4:14" ht="15.75" customHeight="1">
      <c r="D623" s="63"/>
      <c r="E623" s="63"/>
      <c r="F623" s="63"/>
      <c r="G623" s="63"/>
      <c r="H623" s="63"/>
      <c r="I623" s="63"/>
      <c r="J623" s="63"/>
      <c r="N623" s="69"/>
    </row>
    <row r="624" spans="4:14" ht="15.75" customHeight="1">
      <c r="D624" s="63"/>
      <c r="E624" s="63"/>
      <c r="F624" s="63"/>
      <c r="G624" s="63"/>
      <c r="H624" s="63"/>
      <c r="I624" s="63"/>
      <c r="J624" s="63"/>
      <c r="N624" s="69"/>
    </row>
    <row r="625" spans="4:14" ht="15.75" customHeight="1">
      <c r="D625" s="63"/>
      <c r="E625" s="63"/>
      <c r="F625" s="63"/>
      <c r="G625" s="63"/>
      <c r="H625" s="63"/>
      <c r="I625" s="63"/>
      <c r="J625" s="63"/>
      <c r="N625" s="69"/>
    </row>
    <row r="626" spans="4:14" ht="15.75" customHeight="1">
      <c r="D626" s="63"/>
      <c r="E626" s="63"/>
      <c r="F626" s="63"/>
      <c r="G626" s="63"/>
      <c r="H626" s="63"/>
      <c r="I626" s="63"/>
      <c r="J626" s="63"/>
      <c r="N626" s="69"/>
    </row>
    <row r="627" spans="4:14" ht="15.75" customHeight="1">
      <c r="D627" s="63"/>
      <c r="E627" s="63"/>
      <c r="F627" s="63"/>
      <c r="G627" s="63"/>
      <c r="H627" s="63"/>
      <c r="I627" s="63"/>
      <c r="J627" s="63"/>
      <c r="N627" s="69"/>
    </row>
    <row r="628" spans="4:14" ht="15.75" customHeight="1">
      <c r="D628" s="63"/>
      <c r="E628" s="63"/>
      <c r="F628" s="63"/>
      <c r="G628" s="63"/>
      <c r="H628" s="63"/>
      <c r="I628" s="63"/>
      <c r="J628" s="63"/>
      <c r="N628" s="69"/>
    </row>
    <row r="629" spans="4:14" ht="15.75" customHeight="1">
      <c r="D629" s="63"/>
      <c r="E629" s="63"/>
      <c r="F629" s="63"/>
      <c r="G629" s="63"/>
      <c r="H629" s="63"/>
      <c r="I629" s="63"/>
      <c r="J629" s="63"/>
      <c r="N629" s="69"/>
    </row>
    <row r="630" spans="4:14" ht="15.75" customHeight="1">
      <c r="D630" s="63"/>
      <c r="E630" s="63"/>
      <c r="F630" s="63"/>
      <c r="G630" s="63"/>
      <c r="H630" s="63"/>
      <c r="I630" s="63"/>
      <c r="J630" s="63"/>
      <c r="N630" s="69"/>
    </row>
    <row r="631" spans="4:14" ht="15.75" customHeight="1">
      <c r="D631" s="63"/>
      <c r="E631" s="63"/>
      <c r="F631" s="63"/>
      <c r="G631" s="63"/>
      <c r="H631" s="63"/>
      <c r="I631" s="63"/>
      <c r="J631" s="63"/>
      <c r="N631" s="69"/>
    </row>
    <row r="632" spans="4:14" ht="15.75" customHeight="1">
      <c r="D632" s="63"/>
      <c r="E632" s="63"/>
      <c r="F632" s="63"/>
      <c r="G632" s="63"/>
      <c r="H632" s="63"/>
      <c r="I632" s="63"/>
      <c r="J632" s="63"/>
      <c r="N632" s="69"/>
    </row>
    <row r="633" spans="4:14" ht="15.75" customHeight="1">
      <c r="D633" s="63"/>
      <c r="E633" s="63"/>
      <c r="F633" s="63"/>
      <c r="G633" s="63"/>
      <c r="H633" s="63"/>
      <c r="I633" s="63"/>
      <c r="J633" s="63"/>
      <c r="N633" s="69"/>
    </row>
    <row r="634" spans="4:14" ht="15.75" customHeight="1">
      <c r="D634" s="63"/>
      <c r="E634" s="63"/>
      <c r="F634" s="63"/>
      <c r="G634" s="63"/>
      <c r="H634" s="63"/>
      <c r="I634" s="63"/>
      <c r="J634" s="63"/>
      <c r="N634" s="69"/>
    </row>
    <row r="635" spans="4:14" ht="15.75" customHeight="1">
      <c r="D635" s="63"/>
      <c r="E635" s="63"/>
      <c r="F635" s="63"/>
      <c r="G635" s="63"/>
      <c r="H635" s="63"/>
      <c r="I635" s="63"/>
      <c r="J635" s="63"/>
      <c r="N635" s="69"/>
    </row>
    <row r="636" spans="4:14" ht="15.75" customHeight="1">
      <c r="D636" s="63"/>
      <c r="E636" s="63"/>
      <c r="F636" s="63"/>
      <c r="G636" s="63"/>
      <c r="H636" s="63"/>
      <c r="I636" s="63"/>
      <c r="J636" s="63"/>
      <c r="N636" s="69"/>
    </row>
    <row r="637" spans="4:14" ht="15.75" customHeight="1">
      <c r="D637" s="63"/>
      <c r="E637" s="63"/>
      <c r="F637" s="63"/>
      <c r="G637" s="63"/>
      <c r="H637" s="63"/>
      <c r="I637" s="63"/>
      <c r="J637" s="63"/>
      <c r="N637" s="69"/>
    </row>
    <row r="638" spans="4:14" ht="15.75" customHeight="1">
      <c r="D638" s="63"/>
      <c r="E638" s="63"/>
      <c r="F638" s="63"/>
      <c r="G638" s="63"/>
      <c r="H638" s="63"/>
      <c r="I638" s="63"/>
      <c r="J638" s="63"/>
      <c r="N638" s="69"/>
    </row>
    <row r="639" spans="4:14" ht="15.75" customHeight="1">
      <c r="D639" s="63"/>
      <c r="E639" s="63"/>
      <c r="F639" s="63"/>
      <c r="G639" s="63"/>
      <c r="H639" s="63"/>
      <c r="I639" s="63"/>
      <c r="J639" s="63"/>
      <c r="N639" s="69"/>
    </row>
    <row r="640" spans="4:14" ht="15.75" customHeight="1">
      <c r="D640" s="63"/>
      <c r="E640" s="63"/>
      <c r="F640" s="63"/>
      <c r="G640" s="63"/>
      <c r="H640" s="63"/>
      <c r="I640" s="63"/>
      <c r="J640" s="63"/>
      <c r="N640" s="69"/>
    </row>
    <row r="641" spans="4:14" ht="15.75" customHeight="1">
      <c r="D641" s="63"/>
      <c r="E641" s="63"/>
      <c r="F641" s="63"/>
      <c r="G641" s="63"/>
      <c r="H641" s="63"/>
      <c r="I641" s="63"/>
      <c r="J641" s="63"/>
      <c r="N641" s="69"/>
    </row>
    <row r="642" spans="4:14" ht="15.75" customHeight="1">
      <c r="D642" s="63"/>
      <c r="E642" s="63"/>
      <c r="F642" s="63"/>
      <c r="G642" s="63"/>
      <c r="H642" s="63"/>
      <c r="I642" s="63"/>
      <c r="J642" s="63"/>
      <c r="N642" s="69"/>
    </row>
    <row r="643" spans="4:14" ht="15.75" customHeight="1">
      <c r="D643" s="63"/>
      <c r="E643" s="63"/>
      <c r="F643" s="63"/>
      <c r="G643" s="63"/>
      <c r="H643" s="63"/>
      <c r="I643" s="63"/>
      <c r="J643" s="63"/>
      <c r="N643" s="69"/>
    </row>
    <row r="644" spans="4:14" ht="15.75" customHeight="1">
      <c r="D644" s="63"/>
      <c r="E644" s="63"/>
      <c r="F644" s="63"/>
      <c r="G644" s="63"/>
      <c r="H644" s="63"/>
      <c r="I644" s="63"/>
      <c r="J644" s="63"/>
      <c r="N644" s="69"/>
    </row>
    <row r="645" spans="4:14" ht="15.75" customHeight="1">
      <c r="D645" s="63"/>
      <c r="E645" s="63"/>
      <c r="F645" s="63"/>
      <c r="G645" s="63"/>
      <c r="H645" s="63"/>
      <c r="I645" s="63"/>
      <c r="J645" s="63"/>
      <c r="N645" s="69"/>
    </row>
    <row r="646" spans="4:14" ht="15.75" customHeight="1">
      <c r="D646" s="63"/>
      <c r="E646" s="63"/>
      <c r="F646" s="63"/>
      <c r="G646" s="63"/>
      <c r="H646" s="63"/>
      <c r="I646" s="63"/>
      <c r="J646" s="63"/>
      <c r="N646" s="69"/>
    </row>
    <row r="647" spans="4:14" ht="15.75" customHeight="1">
      <c r="D647" s="63"/>
      <c r="E647" s="63"/>
      <c r="F647" s="63"/>
      <c r="G647" s="63"/>
      <c r="H647" s="63"/>
      <c r="I647" s="63"/>
      <c r="J647" s="63"/>
      <c r="N647" s="69"/>
    </row>
    <row r="648" spans="4:14" ht="15.75" customHeight="1">
      <c r="D648" s="63"/>
      <c r="E648" s="63"/>
      <c r="F648" s="63"/>
      <c r="G648" s="63"/>
      <c r="H648" s="63"/>
      <c r="I648" s="63"/>
      <c r="J648" s="63"/>
      <c r="N648" s="69"/>
    </row>
    <row r="649" spans="4:14" ht="15.75" customHeight="1">
      <c r="D649" s="63"/>
      <c r="E649" s="63"/>
      <c r="F649" s="63"/>
      <c r="G649" s="63"/>
      <c r="H649" s="63"/>
      <c r="I649" s="63"/>
      <c r="J649" s="63"/>
      <c r="N649" s="69"/>
    </row>
    <row r="650" spans="4:14" ht="15.75" customHeight="1">
      <c r="D650" s="63"/>
      <c r="E650" s="63"/>
      <c r="F650" s="63"/>
      <c r="G650" s="63"/>
      <c r="H650" s="63"/>
      <c r="I650" s="63"/>
      <c r="J650" s="63"/>
      <c r="N650" s="69"/>
    </row>
    <row r="651" spans="4:14" ht="15.75" customHeight="1">
      <c r="D651" s="63"/>
      <c r="E651" s="63"/>
      <c r="F651" s="63"/>
      <c r="G651" s="63"/>
      <c r="H651" s="63"/>
      <c r="I651" s="63"/>
      <c r="J651" s="63"/>
      <c r="N651" s="69"/>
    </row>
    <row r="652" spans="4:14" ht="15.75" customHeight="1">
      <c r="D652" s="63"/>
      <c r="E652" s="63"/>
      <c r="F652" s="63"/>
      <c r="G652" s="63"/>
      <c r="H652" s="63"/>
      <c r="I652" s="63"/>
      <c r="J652" s="63"/>
      <c r="N652" s="69"/>
    </row>
    <row r="653" spans="4:14" ht="15.75" customHeight="1">
      <c r="D653" s="63"/>
      <c r="E653" s="63"/>
      <c r="F653" s="63"/>
      <c r="G653" s="63"/>
      <c r="H653" s="63"/>
      <c r="I653" s="63"/>
      <c r="J653" s="63"/>
      <c r="N653" s="69"/>
    </row>
    <row r="654" spans="4:14" ht="15.75" customHeight="1">
      <c r="D654" s="63"/>
      <c r="E654" s="63"/>
      <c r="F654" s="63"/>
      <c r="G654" s="63"/>
      <c r="H654" s="63"/>
      <c r="I654" s="63"/>
      <c r="J654" s="63"/>
      <c r="N654" s="69"/>
    </row>
    <row r="655" spans="4:14" ht="15.75" customHeight="1">
      <c r="D655" s="63"/>
      <c r="E655" s="63"/>
      <c r="F655" s="63"/>
      <c r="G655" s="63"/>
      <c r="H655" s="63"/>
      <c r="I655" s="63"/>
      <c r="J655" s="63"/>
      <c r="N655" s="69"/>
    </row>
    <row r="656" spans="4:14" ht="15.75" customHeight="1">
      <c r="D656" s="63"/>
      <c r="E656" s="63"/>
      <c r="F656" s="63"/>
      <c r="G656" s="63"/>
      <c r="H656" s="63"/>
      <c r="I656" s="63"/>
      <c r="J656" s="63"/>
      <c r="N656" s="69"/>
    </row>
    <row r="657" spans="4:14" ht="15.75" customHeight="1">
      <c r="D657" s="63"/>
      <c r="E657" s="63"/>
      <c r="F657" s="63"/>
      <c r="G657" s="63"/>
      <c r="H657" s="63"/>
      <c r="I657" s="63"/>
      <c r="J657" s="63"/>
      <c r="N657" s="69"/>
    </row>
    <row r="658" spans="4:14" ht="15.75" customHeight="1">
      <c r="D658" s="63"/>
      <c r="E658" s="63"/>
      <c r="F658" s="63"/>
      <c r="G658" s="63"/>
      <c r="H658" s="63"/>
      <c r="I658" s="63"/>
      <c r="J658" s="63"/>
      <c r="N658" s="69"/>
    </row>
    <row r="659" spans="4:14" ht="15.75" customHeight="1">
      <c r="D659" s="63"/>
      <c r="E659" s="63"/>
      <c r="F659" s="63"/>
      <c r="G659" s="63"/>
      <c r="H659" s="63"/>
      <c r="I659" s="63"/>
      <c r="J659" s="63"/>
      <c r="N659" s="69"/>
    </row>
    <row r="660" spans="4:14" ht="15.75" customHeight="1">
      <c r="D660" s="63"/>
      <c r="E660" s="63"/>
      <c r="F660" s="63"/>
      <c r="G660" s="63"/>
      <c r="H660" s="63"/>
      <c r="I660" s="63"/>
      <c r="J660" s="63"/>
      <c r="N660" s="69"/>
    </row>
    <row r="661" spans="4:14" ht="15.75" customHeight="1">
      <c r="D661" s="63"/>
      <c r="E661" s="63"/>
      <c r="F661" s="63"/>
      <c r="G661" s="63"/>
      <c r="H661" s="63"/>
      <c r="I661" s="63"/>
      <c r="J661" s="63"/>
      <c r="N661" s="69"/>
    </row>
    <row r="662" spans="4:14" ht="15.75" customHeight="1">
      <c r="D662" s="63"/>
      <c r="E662" s="63"/>
      <c r="F662" s="63"/>
      <c r="G662" s="63"/>
      <c r="H662" s="63"/>
      <c r="I662" s="63"/>
      <c r="J662" s="63"/>
      <c r="N662" s="69"/>
    </row>
    <row r="663" spans="4:14" ht="15.75" customHeight="1">
      <c r="D663" s="63"/>
      <c r="E663" s="63"/>
      <c r="F663" s="63"/>
      <c r="G663" s="63"/>
      <c r="H663" s="63"/>
      <c r="I663" s="63"/>
      <c r="J663" s="63"/>
      <c r="N663" s="69"/>
    </row>
    <row r="664" spans="4:14" ht="15.75" customHeight="1">
      <c r="D664" s="63"/>
      <c r="E664" s="63"/>
      <c r="F664" s="63"/>
      <c r="G664" s="63"/>
      <c r="H664" s="63"/>
      <c r="I664" s="63"/>
      <c r="J664" s="63"/>
      <c r="N664" s="69"/>
    </row>
    <row r="665" spans="4:14" ht="15.75" customHeight="1">
      <c r="D665" s="63"/>
      <c r="E665" s="63"/>
      <c r="F665" s="63"/>
      <c r="G665" s="63"/>
      <c r="H665" s="63"/>
      <c r="I665" s="63"/>
      <c r="J665" s="63"/>
      <c r="N665" s="69"/>
    </row>
    <row r="666" spans="4:14" ht="15.75" customHeight="1">
      <c r="D666" s="63"/>
      <c r="E666" s="63"/>
      <c r="F666" s="63"/>
      <c r="G666" s="63"/>
      <c r="H666" s="63"/>
      <c r="I666" s="63"/>
      <c r="J666" s="63"/>
      <c r="N666" s="69"/>
    </row>
    <row r="667" spans="4:14" ht="15.75" customHeight="1">
      <c r="D667" s="63"/>
      <c r="E667" s="63"/>
      <c r="F667" s="63"/>
      <c r="G667" s="63"/>
      <c r="H667" s="63"/>
      <c r="I667" s="63"/>
      <c r="J667" s="63"/>
      <c r="N667" s="69"/>
    </row>
    <row r="668" spans="4:14" ht="15.75" customHeight="1">
      <c r="D668" s="63"/>
      <c r="E668" s="63"/>
      <c r="F668" s="63"/>
      <c r="G668" s="63"/>
      <c r="H668" s="63"/>
      <c r="I668" s="63"/>
      <c r="J668" s="63"/>
      <c r="N668" s="69"/>
    </row>
    <row r="669" spans="4:14" ht="15.75" customHeight="1">
      <c r="D669" s="63"/>
      <c r="E669" s="63"/>
      <c r="F669" s="63"/>
      <c r="G669" s="63"/>
      <c r="H669" s="63"/>
      <c r="I669" s="63"/>
      <c r="J669" s="63"/>
      <c r="N669" s="69"/>
    </row>
    <row r="670" spans="4:14" ht="15.75" customHeight="1">
      <c r="D670" s="63"/>
      <c r="E670" s="63"/>
      <c r="F670" s="63"/>
      <c r="G670" s="63"/>
      <c r="H670" s="63"/>
      <c r="I670" s="63"/>
      <c r="J670" s="63"/>
      <c r="N670" s="69"/>
    </row>
    <row r="671" spans="4:14" ht="15.75" customHeight="1">
      <c r="D671" s="63"/>
      <c r="E671" s="63"/>
      <c r="F671" s="63"/>
      <c r="G671" s="63"/>
      <c r="H671" s="63"/>
      <c r="I671" s="63"/>
      <c r="J671" s="63"/>
      <c r="N671" s="69"/>
    </row>
  </sheetData>
  <sortState ref="C7:Q18">
    <sortCondition ref="C7"/>
  </sortState>
  <mergeCells count="6">
    <mergeCell ref="C23:E23"/>
    <mergeCell ref="D1:I1"/>
    <mergeCell ref="N2:Q2"/>
    <mergeCell ref="F5:G5"/>
    <mergeCell ref="K5:O5"/>
    <mergeCell ref="C22:E22"/>
  </mergeCells>
  <pageMargins left="0.511811024" right="0.511811024" top="0.78740157499999996" bottom="0.78740157499999996" header="0" footer="0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R930"/>
  <sheetViews>
    <sheetView tabSelected="1" topLeftCell="A4" zoomScale="70" zoomScaleNormal="70" workbookViewId="0">
      <selection activeCell="F17" sqref="F17"/>
    </sheetView>
  </sheetViews>
  <sheetFormatPr defaultColWidth="14.42578125" defaultRowHeight="15" customHeight="1"/>
  <cols>
    <col min="1" max="1" width="28.28515625" style="62" customWidth="1"/>
    <col min="2" max="2" width="39.85546875" style="62" customWidth="1"/>
    <col min="3" max="3" width="14.140625" style="62" customWidth="1"/>
    <col min="4" max="4" width="14.42578125" style="62" customWidth="1"/>
    <col min="5" max="5" width="18.42578125" style="62" customWidth="1"/>
    <col min="6" max="6" width="22.5703125" style="62" customWidth="1"/>
    <col min="7" max="7" width="8.5703125" style="62" customWidth="1"/>
    <col min="8" max="8" width="15.42578125" style="62" customWidth="1"/>
    <col min="9" max="9" width="11.5703125" style="62" customWidth="1"/>
    <col min="10" max="10" width="11.5703125" style="228" customWidth="1"/>
    <col min="11" max="11" width="16.28515625" style="62" customWidth="1"/>
    <col min="12" max="12" width="10.42578125" style="62" customWidth="1"/>
    <col min="13" max="13" width="12.85546875" style="62" customWidth="1"/>
    <col min="14" max="14" width="8.140625" style="62" customWidth="1"/>
    <col min="15" max="15" width="16.7109375" style="62" customWidth="1"/>
    <col min="16" max="16" width="15" style="62" customWidth="1"/>
    <col min="17" max="17" width="19.140625" style="62" customWidth="1"/>
    <col min="18" max="27" width="8.7109375" style="62" customWidth="1"/>
    <col min="28" max="16384" width="14.42578125" style="62"/>
  </cols>
  <sheetData>
    <row r="3" spans="1:18" ht="18">
      <c r="B3" s="96"/>
      <c r="C3" s="63"/>
      <c r="D3" s="63"/>
      <c r="E3" s="63"/>
      <c r="F3" s="63"/>
      <c r="G3" s="63"/>
      <c r="H3" s="63"/>
      <c r="L3" s="344" t="s">
        <v>80</v>
      </c>
      <c r="M3" s="345"/>
      <c r="N3" s="345"/>
      <c r="O3" s="347"/>
    </row>
    <row r="4" spans="1:18" ht="18">
      <c r="B4" s="96"/>
      <c r="C4" s="63"/>
      <c r="D4" s="70"/>
      <c r="E4" s="63"/>
      <c r="F4" s="63"/>
      <c r="G4" s="63"/>
      <c r="H4" s="63"/>
      <c r="L4" s="69"/>
      <c r="Q4" s="287"/>
    </row>
    <row r="5" spans="1:18" ht="18">
      <c r="B5" s="96"/>
      <c r="C5" s="63"/>
      <c r="D5" s="63"/>
      <c r="E5" s="63"/>
      <c r="F5" s="63"/>
      <c r="G5" s="63"/>
      <c r="H5" s="63"/>
      <c r="L5" s="69"/>
      <c r="M5" s="64"/>
    </row>
    <row r="6" spans="1:18" ht="18">
      <c r="B6" s="143"/>
      <c r="C6" s="151"/>
      <c r="D6" s="151"/>
      <c r="E6" s="361" t="s">
        <v>13</v>
      </c>
      <c r="F6" s="362"/>
      <c r="G6" s="151"/>
      <c r="H6" s="151"/>
      <c r="I6" s="363" t="s">
        <v>14</v>
      </c>
      <c r="J6" s="363"/>
      <c r="K6" s="362"/>
      <c r="L6" s="362"/>
      <c r="M6" s="362"/>
      <c r="N6" s="150" t="s">
        <v>15</v>
      </c>
      <c r="O6" s="206" t="s">
        <v>16</v>
      </c>
      <c r="P6" s="210"/>
      <c r="Q6" s="210"/>
      <c r="R6" s="210"/>
    </row>
    <row r="7" spans="1:18" ht="30.75">
      <c r="A7" s="96"/>
      <c r="B7" s="232" t="s">
        <v>17</v>
      </c>
      <c r="C7" s="151" t="s">
        <v>34</v>
      </c>
      <c r="D7" s="151" t="s">
        <v>19</v>
      </c>
      <c r="E7" s="151" t="s">
        <v>35</v>
      </c>
      <c r="F7" s="151" t="s">
        <v>41</v>
      </c>
      <c r="G7" s="152" t="s">
        <v>23</v>
      </c>
      <c r="H7" s="151" t="s">
        <v>24</v>
      </c>
      <c r="I7" s="151" t="s">
        <v>25</v>
      </c>
      <c r="J7" s="151" t="s">
        <v>61</v>
      </c>
      <c r="K7" s="317" t="s">
        <v>81</v>
      </c>
      <c r="L7" s="153" t="s">
        <v>37</v>
      </c>
      <c r="M7" s="154" t="s">
        <v>27</v>
      </c>
      <c r="N7" s="151" t="s">
        <v>28</v>
      </c>
      <c r="O7" s="207" t="s">
        <v>29</v>
      </c>
      <c r="P7" s="211"/>
      <c r="Q7" s="211"/>
      <c r="R7" s="210"/>
    </row>
    <row r="8" spans="1:18" ht="18">
      <c r="A8" s="123">
        <v>1</v>
      </c>
      <c r="B8" s="320" t="s">
        <v>43</v>
      </c>
      <c r="C8" s="272">
        <v>45302</v>
      </c>
      <c r="D8" s="273">
        <v>45323</v>
      </c>
      <c r="E8" s="274">
        <v>1683.78</v>
      </c>
      <c r="F8" s="233"/>
      <c r="G8" s="275"/>
      <c r="H8" s="275">
        <f>SUM(E8:G8)</f>
        <v>1683.78</v>
      </c>
      <c r="I8" s="276">
        <v>127.22</v>
      </c>
      <c r="J8" s="276"/>
      <c r="K8" s="276">
        <v>56.07</v>
      </c>
      <c r="L8" s="277">
        <f>DESCONTOS!H34</f>
        <v>0</v>
      </c>
      <c r="M8" s="276">
        <f t="shared" ref="M8:M22" si="0">SUM(I8:L8)</f>
        <v>183.29</v>
      </c>
      <c r="N8" s="278"/>
      <c r="O8" s="279">
        <f t="shared" ref="O8:O22" si="1">H8-M8+N8</f>
        <v>1500.49</v>
      </c>
      <c r="P8" s="310"/>
      <c r="Q8" s="119"/>
      <c r="R8" s="210"/>
    </row>
    <row r="9" spans="1:18" ht="18">
      <c r="A9" s="123">
        <v>2</v>
      </c>
      <c r="B9" s="143" t="s">
        <v>10</v>
      </c>
      <c r="C9" s="191">
        <v>44778</v>
      </c>
      <c r="D9" s="192">
        <v>44629</v>
      </c>
      <c r="E9" s="193">
        <v>1131.94</v>
      </c>
      <c r="F9" s="167">
        <v>171.18</v>
      </c>
      <c r="G9" s="159"/>
      <c r="H9" s="160">
        <f t="shared" ref="H9:H22" si="2">SUM(E9:G9)</f>
        <v>1303.1200000000001</v>
      </c>
      <c r="I9" s="161"/>
      <c r="J9" s="161"/>
      <c r="K9" s="161"/>
      <c r="L9" s="277">
        <f>DESCONTOS!H35</f>
        <v>0</v>
      </c>
      <c r="M9" s="276">
        <f t="shared" si="0"/>
        <v>0</v>
      </c>
      <c r="N9" s="163"/>
      <c r="O9" s="208">
        <f t="shared" si="1"/>
        <v>1303.1200000000001</v>
      </c>
      <c r="P9" s="119"/>
      <c r="Q9" s="119"/>
      <c r="R9" s="210"/>
    </row>
    <row r="10" spans="1:18" ht="18">
      <c r="A10" s="123">
        <v>3</v>
      </c>
      <c r="B10" s="325" t="s">
        <v>11</v>
      </c>
      <c r="C10" s="272">
        <v>44904</v>
      </c>
      <c r="D10" s="273">
        <v>44585</v>
      </c>
      <c r="E10" s="275">
        <v>2168.3200000000002</v>
      </c>
      <c r="F10" s="285">
        <v>558.04999999999995</v>
      </c>
      <c r="G10" s="286"/>
      <c r="H10" s="275">
        <f t="shared" si="2"/>
        <v>2726.37</v>
      </c>
      <c r="I10" s="276">
        <v>170.82</v>
      </c>
      <c r="J10" s="276"/>
      <c r="K10" s="284">
        <v>72.209999999999994</v>
      </c>
      <c r="L10" s="277">
        <f>DESCONTOS!H36</f>
        <v>0</v>
      </c>
      <c r="M10" s="276">
        <f t="shared" si="0"/>
        <v>243.02999999999997</v>
      </c>
      <c r="N10" s="284"/>
      <c r="O10" s="279">
        <f t="shared" si="1"/>
        <v>2483.34</v>
      </c>
      <c r="P10" s="210"/>
      <c r="Q10" s="211"/>
      <c r="R10" s="210"/>
    </row>
    <row r="11" spans="1:18" ht="18">
      <c r="A11" s="123">
        <v>4</v>
      </c>
      <c r="B11" s="323" t="s">
        <v>70</v>
      </c>
      <c r="C11" s="164"/>
      <c r="D11" s="165">
        <v>46091</v>
      </c>
      <c r="E11" s="166">
        <v>1668.74</v>
      </c>
      <c r="F11" s="167"/>
      <c r="G11" s="159"/>
      <c r="H11" s="275">
        <f t="shared" si="2"/>
        <v>1668.74</v>
      </c>
      <c r="I11" s="161">
        <v>125.86</v>
      </c>
      <c r="J11" s="161"/>
      <c r="K11" s="161">
        <v>55.57</v>
      </c>
      <c r="L11" s="277">
        <f>DESCONTOS!H37</f>
        <v>0</v>
      </c>
      <c r="M11" s="276">
        <f t="shared" si="0"/>
        <v>181.43</v>
      </c>
      <c r="N11" s="163"/>
      <c r="O11" s="279">
        <f t="shared" si="1"/>
        <v>1487.31</v>
      </c>
      <c r="P11" s="210"/>
      <c r="Q11" s="211"/>
      <c r="R11" s="210"/>
    </row>
    <row r="12" spans="1:18" ht="18">
      <c r="A12" s="123">
        <v>5</v>
      </c>
      <c r="B12" s="141" t="s">
        <v>51</v>
      </c>
      <c r="C12" s="191">
        <v>45302</v>
      </c>
      <c r="D12" s="192"/>
      <c r="E12" s="193">
        <v>2103.2199999999998</v>
      </c>
      <c r="F12" s="158"/>
      <c r="G12" s="194"/>
      <c r="H12" s="194">
        <f t="shared" si="2"/>
        <v>2103.2199999999998</v>
      </c>
      <c r="I12" s="195"/>
      <c r="J12" s="195"/>
      <c r="K12" s="195"/>
      <c r="L12" s="277">
        <f>DESCONTOS!H38</f>
        <v>0</v>
      </c>
      <c r="M12" s="276">
        <f t="shared" si="0"/>
        <v>0</v>
      </c>
      <c r="N12" s="196"/>
      <c r="O12" s="292">
        <f t="shared" si="1"/>
        <v>2103.2199999999998</v>
      </c>
      <c r="P12" s="210"/>
      <c r="Q12" s="211"/>
      <c r="R12" s="210"/>
    </row>
    <row r="13" spans="1:18" ht="18">
      <c r="A13" s="123">
        <v>6</v>
      </c>
      <c r="B13" s="142" t="s">
        <v>46</v>
      </c>
      <c r="C13" s="168"/>
      <c r="D13" s="156">
        <v>44936</v>
      </c>
      <c r="E13" s="157">
        <v>1996.76</v>
      </c>
      <c r="F13" s="169">
        <v>94.39</v>
      </c>
      <c r="G13" s="159"/>
      <c r="H13" s="160">
        <f t="shared" si="2"/>
        <v>2091.15</v>
      </c>
      <c r="I13" s="161"/>
      <c r="J13" s="161"/>
      <c r="K13" s="161"/>
      <c r="L13" s="277">
        <f>DESCONTOS!H39</f>
        <v>0</v>
      </c>
      <c r="M13" s="276">
        <f t="shared" si="0"/>
        <v>0</v>
      </c>
      <c r="N13" s="163"/>
      <c r="O13" s="208">
        <f t="shared" si="1"/>
        <v>2091.15</v>
      </c>
      <c r="P13" s="210"/>
      <c r="Q13" s="211"/>
      <c r="R13" s="210"/>
    </row>
    <row r="14" spans="1:18" ht="18">
      <c r="A14" s="123">
        <v>7</v>
      </c>
      <c r="B14" s="141" t="s">
        <v>59</v>
      </c>
      <c r="C14" s="272"/>
      <c r="D14" s="273"/>
      <c r="E14" s="274">
        <v>1164.47</v>
      </c>
      <c r="F14" s="233">
        <v>168.8</v>
      </c>
      <c r="G14" s="275"/>
      <c r="H14" s="275">
        <f t="shared" si="2"/>
        <v>1333.27</v>
      </c>
      <c r="I14" s="276"/>
      <c r="J14" s="276"/>
      <c r="K14" s="276"/>
      <c r="L14" s="277">
        <f>DESCONTOS!H40</f>
        <v>0</v>
      </c>
      <c r="M14" s="276">
        <f t="shared" si="0"/>
        <v>0</v>
      </c>
      <c r="N14" s="278"/>
      <c r="O14" s="279">
        <f t="shared" si="1"/>
        <v>1333.27</v>
      </c>
      <c r="P14" s="210"/>
      <c r="Q14" s="211"/>
      <c r="R14" s="210"/>
    </row>
    <row r="15" spans="1:18" ht="18">
      <c r="A15" s="123">
        <v>8</v>
      </c>
      <c r="B15" s="143" t="s">
        <v>42</v>
      </c>
      <c r="C15" s="191">
        <v>44849</v>
      </c>
      <c r="D15" s="192">
        <v>44641</v>
      </c>
      <c r="E15" s="193">
        <v>1131.97</v>
      </c>
      <c r="F15" s="158">
        <v>171.18</v>
      </c>
      <c r="G15" s="194"/>
      <c r="H15" s="194">
        <f t="shared" si="2"/>
        <v>1303.1500000000001</v>
      </c>
      <c r="I15" s="195"/>
      <c r="J15" s="195"/>
      <c r="K15" s="195"/>
      <c r="L15" s="277">
        <f>DESCONTOS!H41</f>
        <v>0</v>
      </c>
      <c r="M15" s="276">
        <f t="shared" si="0"/>
        <v>0</v>
      </c>
      <c r="N15" s="196"/>
      <c r="O15" s="292">
        <f t="shared" si="1"/>
        <v>1303.1500000000001</v>
      </c>
      <c r="P15" s="210"/>
      <c r="Q15" s="210"/>
      <c r="R15" s="210"/>
    </row>
    <row r="16" spans="1:18" ht="18">
      <c r="A16" s="123">
        <v>9</v>
      </c>
      <c r="B16" s="143" t="s">
        <v>52</v>
      </c>
      <c r="C16" s="224"/>
      <c r="D16" s="225">
        <v>45302</v>
      </c>
      <c r="E16" s="226">
        <v>2448.65</v>
      </c>
      <c r="F16" s="158">
        <v>155.82</v>
      </c>
      <c r="G16" s="143"/>
      <c r="H16" s="194">
        <f t="shared" si="2"/>
        <v>2604.4700000000003</v>
      </c>
      <c r="I16" s="143"/>
      <c r="J16" s="143"/>
      <c r="K16" s="195"/>
      <c r="L16" s="277">
        <f>DESCONTOS!H42</f>
        <v>1000</v>
      </c>
      <c r="M16" s="276">
        <f t="shared" si="0"/>
        <v>1000</v>
      </c>
      <c r="N16" s="143"/>
      <c r="O16" s="195">
        <f t="shared" si="1"/>
        <v>1604.4700000000003</v>
      </c>
      <c r="P16" s="210"/>
      <c r="Q16" s="210"/>
      <c r="R16" s="210"/>
    </row>
    <row r="17" spans="1:18" s="97" customFormat="1" ht="18">
      <c r="A17" s="123">
        <v>10</v>
      </c>
      <c r="B17" s="141" t="s">
        <v>54</v>
      </c>
      <c r="C17" s="191"/>
      <c r="D17" s="192">
        <v>45558</v>
      </c>
      <c r="E17" s="193">
        <v>1178.07</v>
      </c>
      <c r="F17" s="327">
        <v>32.1</v>
      </c>
      <c r="G17" s="194"/>
      <c r="H17" s="194">
        <f t="shared" si="2"/>
        <v>1210.1699999999998</v>
      </c>
      <c r="I17" s="195"/>
      <c r="J17" s="195"/>
      <c r="K17" s="195"/>
      <c r="L17" s="277">
        <f>DESCONTOS!H43</f>
        <v>0</v>
      </c>
      <c r="M17" s="276">
        <f t="shared" si="0"/>
        <v>0</v>
      </c>
      <c r="N17" s="196"/>
      <c r="O17" s="195">
        <f t="shared" si="1"/>
        <v>1210.1699999999998</v>
      </c>
      <c r="P17" s="210"/>
      <c r="Q17" s="210"/>
      <c r="R17" s="210"/>
    </row>
    <row r="18" spans="1:18" s="131" customFormat="1" ht="18">
      <c r="A18" s="123">
        <v>11</v>
      </c>
      <c r="B18" s="141" t="s">
        <v>53</v>
      </c>
      <c r="C18" s="191"/>
      <c r="D18" s="192">
        <v>45525</v>
      </c>
      <c r="E18" s="193">
        <v>3155.43</v>
      </c>
      <c r="F18" s="158"/>
      <c r="G18" s="194"/>
      <c r="H18" s="194">
        <f t="shared" si="2"/>
        <v>3155.43</v>
      </c>
      <c r="I18" s="195"/>
      <c r="J18" s="195"/>
      <c r="K18" s="195"/>
      <c r="L18" s="277">
        <f>DESCONTOS!H44</f>
        <v>0</v>
      </c>
      <c r="M18" s="276">
        <f t="shared" si="0"/>
        <v>0</v>
      </c>
      <c r="N18" s="196"/>
      <c r="O18" s="195">
        <f t="shared" si="1"/>
        <v>3155.43</v>
      </c>
      <c r="P18" s="210"/>
      <c r="Q18" s="210"/>
      <c r="R18" s="210"/>
    </row>
    <row r="19" spans="1:18" s="131" customFormat="1" ht="18">
      <c r="A19" s="123">
        <v>12</v>
      </c>
      <c r="B19" s="320" t="s">
        <v>65</v>
      </c>
      <c r="C19" s="272"/>
      <c r="D19" s="273"/>
      <c r="E19" s="274">
        <v>1669.87</v>
      </c>
      <c r="F19" s="233"/>
      <c r="G19" s="275"/>
      <c r="H19" s="275">
        <f t="shared" si="2"/>
        <v>1669.87</v>
      </c>
      <c r="I19" s="276">
        <v>125.89</v>
      </c>
      <c r="J19" s="276"/>
      <c r="K19" s="276">
        <v>55.58</v>
      </c>
      <c r="L19" s="277">
        <f>DESCONTOS!H45</f>
        <v>372.5</v>
      </c>
      <c r="M19" s="276">
        <f t="shared" si="0"/>
        <v>553.97</v>
      </c>
      <c r="N19" s="278">
        <v>67.540000000000006</v>
      </c>
      <c r="O19" s="276">
        <f t="shared" si="1"/>
        <v>1183.4399999999998</v>
      </c>
      <c r="P19" s="210"/>
      <c r="Q19" s="210"/>
      <c r="R19" s="210"/>
    </row>
    <row r="20" spans="1:18" s="131" customFormat="1" ht="18">
      <c r="A20" s="123">
        <v>13</v>
      </c>
      <c r="B20" s="320" t="s">
        <v>58</v>
      </c>
      <c r="C20" s="191"/>
      <c r="D20" s="192">
        <v>45189</v>
      </c>
      <c r="E20" s="193">
        <v>1737</v>
      </c>
      <c r="F20" s="233"/>
      <c r="G20" s="194"/>
      <c r="H20" s="194">
        <f t="shared" si="2"/>
        <v>1737</v>
      </c>
      <c r="I20" s="195">
        <v>132.01</v>
      </c>
      <c r="J20" s="195"/>
      <c r="K20" s="195">
        <v>52.11</v>
      </c>
      <c r="L20" s="277">
        <f>DESCONTOS!H46</f>
        <v>49</v>
      </c>
      <c r="M20" s="276">
        <f t="shared" si="0"/>
        <v>233.12</v>
      </c>
      <c r="N20" s="196"/>
      <c r="O20" s="195">
        <f t="shared" si="1"/>
        <v>1503.88</v>
      </c>
      <c r="P20" s="210"/>
      <c r="Q20" s="210"/>
      <c r="R20" s="210"/>
    </row>
    <row r="21" spans="1:18" s="131" customFormat="1" ht="18">
      <c r="A21" s="123">
        <v>14</v>
      </c>
      <c r="B21" s="141" t="s">
        <v>49</v>
      </c>
      <c r="C21" s="191">
        <v>44971</v>
      </c>
      <c r="D21" s="192">
        <v>45154</v>
      </c>
      <c r="E21" s="193">
        <v>1557.7</v>
      </c>
      <c r="F21" s="158">
        <v>111.83</v>
      </c>
      <c r="G21" s="194"/>
      <c r="H21" s="194">
        <f t="shared" si="2"/>
        <v>1669.53</v>
      </c>
      <c r="I21" s="195"/>
      <c r="J21" s="195"/>
      <c r="K21" s="195"/>
      <c r="L21" s="277">
        <f>DESCONTOS!H47</f>
        <v>0</v>
      </c>
      <c r="M21" s="276">
        <f t="shared" si="0"/>
        <v>0</v>
      </c>
      <c r="N21" s="196"/>
      <c r="O21" s="195">
        <f t="shared" si="1"/>
        <v>1669.53</v>
      </c>
      <c r="P21" s="360"/>
      <c r="Q21" s="360"/>
      <c r="R21" s="360"/>
    </row>
    <row r="22" spans="1:18" s="131" customFormat="1" ht="18">
      <c r="A22" s="123">
        <v>15</v>
      </c>
      <c r="B22" s="304"/>
      <c r="C22" s="281"/>
      <c r="D22" s="282"/>
      <c r="E22" s="283"/>
      <c r="F22" s="233"/>
      <c r="G22" s="275"/>
      <c r="H22" s="275">
        <f t="shared" si="2"/>
        <v>0</v>
      </c>
      <c r="I22" s="276"/>
      <c r="J22" s="276"/>
      <c r="K22" s="276"/>
      <c r="L22" s="277">
        <f>DESCONTOS!H48</f>
        <v>0</v>
      </c>
      <c r="M22" s="276">
        <f t="shared" si="0"/>
        <v>0</v>
      </c>
      <c r="N22" s="278"/>
      <c r="O22" s="276">
        <f t="shared" si="1"/>
        <v>0</v>
      </c>
      <c r="P22" s="211"/>
      <c r="Q22" s="211"/>
      <c r="R22" s="211"/>
    </row>
    <row r="23" spans="1:18" s="131" customFormat="1" ht="18">
      <c r="A23" s="123">
        <v>16</v>
      </c>
      <c r="B23" s="141"/>
      <c r="C23" s="191"/>
      <c r="D23" s="192"/>
      <c r="E23" s="193"/>
      <c r="F23" s="158"/>
      <c r="G23" s="159"/>
      <c r="H23" s="160"/>
      <c r="I23" s="161"/>
      <c r="J23" s="161"/>
      <c r="K23" s="161"/>
      <c r="L23" s="277">
        <f>DESCONTOS!H49</f>
        <v>0</v>
      </c>
      <c r="M23" s="162"/>
      <c r="N23" s="163"/>
      <c r="O23" s="215"/>
      <c r="P23" s="211"/>
      <c r="Q23" s="211"/>
      <c r="R23" s="211"/>
    </row>
    <row r="24" spans="1:18" s="97" customFormat="1" ht="18">
      <c r="A24" s="123">
        <v>17</v>
      </c>
      <c r="B24" s="141"/>
      <c r="C24" s="191"/>
      <c r="D24" s="192"/>
      <c r="E24" s="193"/>
      <c r="F24" s="158"/>
      <c r="G24" s="194"/>
      <c r="H24" s="194">
        <f>SUM(E24:G24)</f>
        <v>0</v>
      </c>
      <c r="I24" s="195"/>
      <c r="J24" s="195"/>
      <c r="K24" s="195"/>
      <c r="L24" s="277">
        <f>DESCONTOS!H50</f>
        <v>0</v>
      </c>
      <c r="M24" s="195">
        <f>SUM(I24:L24)</f>
        <v>0</v>
      </c>
      <c r="N24" s="196"/>
      <c r="O24" s="195">
        <f>H24-M24+N24</f>
        <v>0</v>
      </c>
      <c r="P24" s="211"/>
      <c r="Q24" s="211"/>
      <c r="R24" s="211"/>
    </row>
    <row r="25" spans="1:18" s="212" customFormat="1" ht="18">
      <c r="A25" s="123">
        <v>18</v>
      </c>
      <c r="B25" s="142"/>
      <c r="C25" s="155"/>
      <c r="D25" s="156"/>
      <c r="E25" s="157"/>
      <c r="F25" s="158"/>
      <c r="G25" s="194"/>
      <c r="H25" s="194"/>
      <c r="I25" s="195"/>
      <c r="J25" s="195"/>
      <c r="K25" s="195"/>
      <c r="L25" s="277">
        <f>DESCONTOS!H51</f>
        <v>0</v>
      </c>
      <c r="M25" s="195">
        <f>SUM(I25:L25)</f>
        <v>0</v>
      </c>
      <c r="N25" s="196"/>
      <c r="O25" s="195">
        <f>H25-M25+N25</f>
        <v>0</v>
      </c>
      <c r="P25" s="211"/>
      <c r="Q25" s="211"/>
      <c r="R25" s="211"/>
    </row>
    <row r="26" spans="1:18" s="212" customFormat="1" ht="18">
      <c r="A26" s="123">
        <v>19</v>
      </c>
      <c r="B26" s="141"/>
      <c r="C26" s="191"/>
      <c r="D26" s="192"/>
      <c r="E26" s="193"/>
      <c r="F26" s="158"/>
      <c r="G26" s="194"/>
      <c r="H26" s="194">
        <f>SUM(E26:G26)</f>
        <v>0</v>
      </c>
      <c r="I26" s="195"/>
      <c r="J26" s="195"/>
      <c r="K26" s="195"/>
      <c r="L26" s="277">
        <f>DESCONTOS!H52</f>
        <v>0</v>
      </c>
      <c r="M26" s="195">
        <f>SUM(I26:L26)</f>
        <v>0</v>
      </c>
      <c r="N26" s="196"/>
      <c r="O26" s="195">
        <f>H26-M26+N26</f>
        <v>0</v>
      </c>
      <c r="P26" s="211"/>
      <c r="Q26" s="211"/>
      <c r="R26" s="211"/>
    </row>
    <row r="27" spans="1:18" s="212" customFormat="1" ht="18">
      <c r="A27" s="149">
        <v>20</v>
      </c>
      <c r="B27" s="141"/>
      <c r="C27" s="191"/>
      <c r="D27" s="192"/>
      <c r="E27" s="193"/>
      <c r="F27" s="158"/>
      <c r="G27" s="194"/>
      <c r="H27" s="194">
        <f>SUM(E27:G27)</f>
        <v>0</v>
      </c>
      <c r="I27" s="195"/>
      <c r="J27" s="195"/>
      <c r="K27" s="195"/>
      <c r="L27" s="277">
        <f>DESCONTOS!H53</f>
        <v>0</v>
      </c>
      <c r="M27" s="195">
        <f>SUM(I27:L27)</f>
        <v>0</v>
      </c>
      <c r="N27" s="196"/>
      <c r="O27" s="195">
        <f>H27-M27+N27</f>
        <v>0</v>
      </c>
      <c r="P27" s="211"/>
      <c r="Q27" s="211"/>
      <c r="R27" s="211"/>
    </row>
    <row r="28" spans="1:18" s="182" customFormat="1" ht="18">
      <c r="A28" s="149">
        <v>21</v>
      </c>
      <c r="B28" s="141"/>
      <c r="C28" s="164"/>
      <c r="D28" s="165"/>
      <c r="E28" s="166"/>
      <c r="F28" s="181"/>
      <c r="G28" s="159"/>
      <c r="H28" s="160"/>
      <c r="I28" s="161"/>
      <c r="J28" s="161"/>
      <c r="K28" s="161"/>
      <c r="L28" s="277">
        <f>DESCONTOS!H54</f>
        <v>0</v>
      </c>
      <c r="M28" s="162"/>
      <c r="N28" s="163"/>
      <c r="O28" s="215"/>
      <c r="P28" s="211"/>
      <c r="Q28" s="211"/>
      <c r="R28" s="211"/>
    </row>
    <row r="29" spans="1:18" ht="18">
      <c r="B29" s="170" t="s">
        <v>33</v>
      </c>
      <c r="C29" s="171"/>
      <c r="D29" s="172"/>
      <c r="E29" s="173">
        <f>SUM(E8:E24)</f>
        <v>24795.919999999998</v>
      </c>
      <c r="F29" s="173">
        <f>SUM(F8:F24)</f>
        <v>1463.35</v>
      </c>
      <c r="G29" s="173">
        <f t="shared" ref="G29:N29" si="3">SUM(G8:G15)</f>
        <v>0</v>
      </c>
      <c r="H29" s="173">
        <f>SUM(H8:H24)</f>
        <v>26259.269999999997</v>
      </c>
      <c r="I29" s="174">
        <f t="shared" si="3"/>
        <v>423.9</v>
      </c>
      <c r="J29" s="174"/>
      <c r="K29" s="174">
        <f t="shared" si="3"/>
        <v>183.85</v>
      </c>
      <c r="L29" s="175">
        <f>SUM(L8:L15)</f>
        <v>0</v>
      </c>
      <c r="M29" s="174">
        <f t="shared" si="3"/>
        <v>607.75</v>
      </c>
      <c r="N29" s="174">
        <f t="shared" si="3"/>
        <v>0</v>
      </c>
      <c r="O29" s="209">
        <f>SUM(O8:O24)</f>
        <v>23931.969999999998</v>
      </c>
      <c r="P29" s="210"/>
      <c r="Q29" s="210"/>
      <c r="R29" s="210"/>
    </row>
    <row r="30" spans="1:18" ht="18">
      <c r="C30" s="63"/>
      <c r="D30" s="63"/>
      <c r="E30" s="63"/>
      <c r="F30" s="63"/>
      <c r="G30" s="63"/>
      <c r="H30" s="63"/>
      <c r="L30" s="69"/>
    </row>
    <row r="31" spans="1:18" ht="15.75" customHeight="1">
      <c r="B31" s="94"/>
      <c r="C31" s="63"/>
      <c r="D31" s="63"/>
      <c r="E31" s="63"/>
      <c r="F31" s="364" t="s">
        <v>47</v>
      </c>
      <c r="G31" s="364"/>
      <c r="H31" s="63"/>
      <c r="L31" s="69"/>
    </row>
    <row r="32" spans="1:18" ht="15.75" customHeight="1">
      <c r="C32" s="63"/>
      <c r="D32" s="131"/>
    </row>
    <row r="33" spans="2:5" ht="15.75" customHeight="1"/>
    <row r="34" spans="2:5" ht="15.75" customHeight="1">
      <c r="B34" s="359"/>
      <c r="C34" s="359"/>
      <c r="D34" s="359"/>
      <c r="E34" s="146"/>
    </row>
    <row r="35" spans="2:5" ht="15.75" customHeight="1">
      <c r="B35" s="146"/>
      <c r="C35" s="303"/>
      <c r="E35" s="144"/>
    </row>
    <row r="36" spans="2:5" ht="15.75" customHeight="1">
      <c r="B36" s="93"/>
      <c r="E36" s="145"/>
    </row>
    <row r="37" spans="2:5" ht="15.75" customHeight="1">
      <c r="B37" s="146"/>
      <c r="E37" s="145"/>
    </row>
    <row r="38" spans="2:5" ht="15.75" customHeight="1">
      <c r="B38" s="146"/>
      <c r="E38" s="145"/>
    </row>
    <row r="39" spans="2:5" ht="15.75" customHeight="1">
      <c r="B39" s="146"/>
      <c r="E39" s="145"/>
    </row>
    <row r="40" spans="2:5" ht="15.75" customHeight="1">
      <c r="B40" s="93"/>
      <c r="E40" s="145"/>
    </row>
    <row r="41" spans="2:5" ht="15.75" customHeight="1">
      <c r="B41" s="93"/>
      <c r="E41" s="145"/>
    </row>
    <row r="42" spans="2:5" ht="15.75" customHeight="1">
      <c r="B42" s="93"/>
    </row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</sheetData>
  <sortState ref="B8:O28">
    <sortCondition ref="B8"/>
  </sortState>
  <mergeCells count="6">
    <mergeCell ref="B34:D34"/>
    <mergeCell ref="P21:R21"/>
    <mergeCell ref="L3:O3"/>
    <mergeCell ref="E6:F6"/>
    <mergeCell ref="I6:M6"/>
    <mergeCell ref="F31:G31"/>
  </mergeCells>
  <pageMargins left="0.511811024" right="0.511811024" top="0.78740157499999996" bottom="0.78740157499999996" header="0" footer="0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DESCONTOS</vt:lpstr>
      <vt:lpstr>PROFESSORES</vt:lpstr>
      <vt:lpstr>Admin</vt:lpstr>
      <vt:lpstr>ENSINO MÉDIO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EPG-Finaceiro</dc:creator>
  <cp:lastModifiedBy>Rodrigo Reis</cp:lastModifiedBy>
  <cp:lastPrinted>2026-06-03T12:42:31Z</cp:lastPrinted>
  <dcterms:created xsi:type="dcterms:W3CDTF">2022-08-08T19:33:53Z</dcterms:created>
  <dcterms:modified xsi:type="dcterms:W3CDTF">2026-06-13T17:25:04Z</dcterms:modified>
</cp:coreProperties>
</file>