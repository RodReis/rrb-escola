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05" yWindow="-105" windowWidth="20730" windowHeight="11760" tabRatio="702" activeTab="1"/>
  </bookViews>
  <sheets>
    <sheet name="DESCONTOS" sheetId="10" r:id="rId1"/>
    <sheet name="Professores" sheetId="2" r:id="rId2"/>
    <sheet name="Funcionários" sheetId="5" r:id="rId3"/>
    <sheet name="F. FUND. II" sheetId="7" r:id="rId4"/>
  </sheets>
  <definedNames>
    <definedName name="_xlnm.Print_Area" localSheetId="0">DESCONTOS!$B$4:$I$53</definedName>
    <definedName name="_xlnm.Print_Area" localSheetId="3">'F. FUND. II'!$A$3:$V$21</definedName>
    <definedName name="_xlnm.Print_Area" localSheetId="2">Funcionários!$A$1:$Q$18</definedName>
    <definedName name="_xlnm.Print_Area" localSheetId="1">Professores!$A$2:$X$29</definedName>
  </definedNames>
  <calcPr calcId="145621"/>
</workbook>
</file>

<file path=xl/calcChain.xml><?xml version="1.0" encoding="utf-8"?>
<calcChain xmlns="http://schemas.openxmlformats.org/spreadsheetml/2006/main">
  <c r="H28" i="5" l="1"/>
  <c r="I26" i="7" l="1"/>
  <c r="M19" i="7" l="1"/>
  <c r="H13" i="7" l="1"/>
  <c r="Q17" i="7" l="1"/>
  <c r="P17" i="7"/>
  <c r="H17" i="7"/>
  <c r="G17" i="7" s="1"/>
  <c r="N28" i="2" l="1"/>
  <c r="Q9" i="2" l="1"/>
  <c r="Q11" i="2"/>
  <c r="Q12" i="2"/>
  <c r="Q13" i="2"/>
  <c r="Q16" i="2"/>
  <c r="Q17" i="2"/>
  <c r="Q18" i="2"/>
  <c r="Q20" i="2"/>
  <c r="Q21" i="2"/>
  <c r="Q22" i="2"/>
  <c r="Q24" i="2"/>
  <c r="Q25" i="2"/>
  <c r="Q27" i="2"/>
  <c r="N8" i="5"/>
  <c r="N9" i="5"/>
  <c r="N10" i="5"/>
  <c r="N11" i="5"/>
  <c r="N16" i="5"/>
  <c r="P10" i="7"/>
  <c r="P12" i="7"/>
  <c r="G12" i="10" l="1"/>
  <c r="G9" i="10"/>
  <c r="H15" i="7"/>
  <c r="G15" i="7" s="1"/>
  <c r="L15" i="7" s="1"/>
  <c r="H10" i="2" l="1"/>
  <c r="G10" i="2" s="1"/>
  <c r="M10" i="2" s="1"/>
  <c r="H11" i="2" l="1"/>
  <c r="G11" i="2" s="1"/>
  <c r="H22" i="2"/>
  <c r="G22" i="2"/>
  <c r="M22" i="2" s="1"/>
  <c r="G43" i="10" l="1"/>
  <c r="G7" i="10" l="1"/>
  <c r="Q8" i="2" s="1"/>
  <c r="G39" i="10" l="1"/>
  <c r="G38" i="10"/>
  <c r="G36" i="10"/>
  <c r="N14" i="5" s="1"/>
  <c r="G35" i="10"/>
  <c r="N13" i="5" s="1"/>
  <c r="O13" i="5" s="1"/>
  <c r="G34" i="10"/>
  <c r="N12" i="5" s="1"/>
  <c r="G33" i="10"/>
  <c r="G32" i="10"/>
  <c r="G37" i="10"/>
  <c r="N15" i="5" s="1"/>
  <c r="G31" i="10"/>
  <c r="G30" i="10"/>
  <c r="G18" i="10"/>
  <c r="Q19" i="2" s="1"/>
  <c r="G24" i="10" l="1"/>
  <c r="G13" i="7" l="1"/>
  <c r="H20" i="2" l="1"/>
  <c r="G20" i="2" s="1"/>
  <c r="M20" i="2" s="1"/>
  <c r="H24" i="2"/>
  <c r="G24" i="2" s="1"/>
  <c r="M24" i="2" s="1"/>
  <c r="F28" i="2" l="1"/>
  <c r="H19" i="2"/>
  <c r="G19" i="2" s="1"/>
  <c r="M19" i="2" s="1"/>
  <c r="G14" i="10" l="1"/>
  <c r="Q15" i="2" s="1"/>
  <c r="L18" i="7"/>
  <c r="L17" i="7"/>
  <c r="S17" i="7" s="1"/>
  <c r="H16" i="7"/>
  <c r="G16" i="7" s="1"/>
  <c r="L16" i="7" s="1"/>
  <c r="H14" i="7"/>
  <c r="G14" i="7" s="1"/>
  <c r="L14" i="7" s="1"/>
  <c r="G45" i="10" l="1"/>
  <c r="P11" i="7" s="1"/>
  <c r="H14" i="2" l="1"/>
  <c r="G14" i="2" s="1"/>
  <c r="M14" i="2" s="1"/>
  <c r="O16" i="5" l="1"/>
  <c r="J16" i="5"/>
  <c r="Q16" i="5" l="1"/>
  <c r="G49" i="10"/>
  <c r="P15" i="7" s="1"/>
  <c r="G44" i="10" l="1"/>
  <c r="Q10" i="7" s="1"/>
  <c r="P17" i="5" l="1"/>
  <c r="M17" i="5"/>
  <c r="K17" i="5"/>
  <c r="I17" i="5"/>
  <c r="H17" i="5"/>
  <c r="G17" i="5"/>
  <c r="F53" i="10" l="1"/>
  <c r="J9" i="5" l="1"/>
  <c r="P9" i="7" l="1"/>
  <c r="G50" i="10"/>
  <c r="P16" i="7" s="1"/>
  <c r="Q16" i="7" l="1"/>
  <c r="Q15" i="7"/>
  <c r="S15" i="7" s="1"/>
  <c r="J13" i="5" l="1"/>
  <c r="H17" i="2" l="1"/>
  <c r="G17" i="2" s="1"/>
  <c r="J19" i="7" l="1"/>
  <c r="I19" i="7"/>
  <c r="F19" i="7" l="1"/>
  <c r="G13" i="10" l="1"/>
  <c r="Q14" i="2" s="1"/>
  <c r="R14" i="2" l="1"/>
  <c r="T14" i="2" s="1"/>
  <c r="J12" i="5"/>
  <c r="J8" i="5" l="1"/>
  <c r="H25" i="2"/>
  <c r="G25" i="2" s="1"/>
  <c r="M25" i="2" s="1"/>
  <c r="H23" i="2"/>
  <c r="G23" i="2" s="1"/>
  <c r="H9" i="2"/>
  <c r="G9" i="2" s="1"/>
  <c r="M9" i="2" s="1"/>
  <c r="H8" i="2"/>
  <c r="G8" i="2" s="1"/>
  <c r="H7" i="2"/>
  <c r="H15" i="2"/>
  <c r="G15" i="2" s="1"/>
  <c r="H13" i="2"/>
  <c r="G13" i="2" s="1"/>
  <c r="G7" i="2" l="1"/>
  <c r="Q9" i="7"/>
  <c r="G46" i="10"/>
  <c r="G47" i="10"/>
  <c r="G48" i="10"/>
  <c r="P14" i="7" s="1"/>
  <c r="P13" i="7" l="1"/>
  <c r="Q13" i="7" s="1"/>
  <c r="Q14" i="7"/>
  <c r="Q11" i="7"/>
  <c r="S16" i="7"/>
  <c r="Q12" i="7"/>
  <c r="M7" i="2"/>
  <c r="G10" i="10"/>
  <c r="O28" i="2" l="1"/>
  <c r="R8" i="2"/>
  <c r="G8" i="10"/>
  <c r="G11" i="10"/>
  <c r="G15" i="10"/>
  <c r="G23" i="10"/>
  <c r="G22" i="10"/>
  <c r="Q23" i="2" s="1"/>
  <c r="G19" i="10"/>
  <c r="G16" i="10"/>
  <c r="G17" i="10"/>
  <c r="G20" i="10"/>
  <c r="G21" i="10"/>
  <c r="R9" i="2" l="1"/>
  <c r="R10" i="2"/>
  <c r="T10" i="2" s="1"/>
  <c r="R18" i="2"/>
  <c r="R21" i="2"/>
  <c r="R19" i="2"/>
  <c r="T19" i="2" s="1"/>
  <c r="R17" i="2"/>
  <c r="R20" i="2"/>
  <c r="T20" i="2" s="1"/>
  <c r="R24" i="2"/>
  <c r="T24" i="2" s="1"/>
  <c r="R25" i="2"/>
  <c r="R12" i="2"/>
  <c r="R11" i="2"/>
  <c r="R15" i="2"/>
  <c r="R22" i="2"/>
  <c r="R13" i="2"/>
  <c r="R16" i="2"/>
  <c r="G29" i="10"/>
  <c r="N7" i="5" s="1"/>
  <c r="N6" i="5"/>
  <c r="N17" i="5" l="1"/>
  <c r="Q13" i="5"/>
  <c r="O14" i="5"/>
  <c r="M11" i="2"/>
  <c r="M17" i="2"/>
  <c r="J14" i="5"/>
  <c r="H18" i="2"/>
  <c r="O9" i="5" l="1"/>
  <c r="Q9" i="5" s="1"/>
  <c r="G18" i="2"/>
  <c r="Q14" i="5"/>
  <c r="M18" i="2" l="1"/>
  <c r="H12" i="7"/>
  <c r="G12" i="7" l="1"/>
  <c r="L12" i="7" s="1"/>
  <c r="S12" i="7" s="1"/>
  <c r="O12" i="5"/>
  <c r="Q12" i="5" s="1"/>
  <c r="O15" i="5"/>
  <c r="G6" i="10"/>
  <c r="Q7" i="2" s="1"/>
  <c r="R7" i="2" s="1"/>
  <c r="T11" i="2"/>
  <c r="T17" i="2"/>
  <c r="T18" i="2"/>
  <c r="J15" i="5"/>
  <c r="Q15" i="5" l="1"/>
  <c r="J7" i="5"/>
  <c r="J10" i="5"/>
  <c r="J11" i="5"/>
  <c r="J17" i="5" l="1"/>
  <c r="I53" i="10" l="1"/>
  <c r="I40" i="10"/>
  <c r="I26" i="10"/>
  <c r="I56" i="10" l="1"/>
  <c r="H21" i="2"/>
  <c r="G21" i="2" s="1"/>
  <c r="H12" i="2"/>
  <c r="H16" i="2"/>
  <c r="G16" i="2" s="1"/>
  <c r="H26" i="2"/>
  <c r="G26" i="2" s="1"/>
  <c r="I28" i="2"/>
  <c r="L28" i="2"/>
  <c r="S28" i="2"/>
  <c r="G12" i="2" l="1"/>
  <c r="G28" i="2" s="1"/>
  <c r="H28" i="2"/>
  <c r="M21" i="2"/>
  <c r="T21" i="2" s="1"/>
  <c r="T9" i="2"/>
  <c r="M26" i="2"/>
  <c r="M16" i="2"/>
  <c r="T16" i="2" s="1"/>
  <c r="M13" i="2"/>
  <c r="T13" i="2" s="1"/>
  <c r="O7" i="5"/>
  <c r="O8" i="5"/>
  <c r="Q8" i="5" s="1"/>
  <c r="O10" i="5"/>
  <c r="O11" i="5"/>
  <c r="Q11" i="5" s="1"/>
  <c r="Q10" i="5" l="1"/>
  <c r="O17" i="5"/>
  <c r="M12" i="2"/>
  <c r="T12" i="2" s="1"/>
  <c r="Q7" i="5"/>
  <c r="F17" i="5"/>
  <c r="Q17" i="5" l="1"/>
  <c r="E53" i="10"/>
  <c r="D53" i="10"/>
  <c r="K19" i="7"/>
  <c r="O19" i="7"/>
  <c r="R19" i="7"/>
  <c r="H11" i="7"/>
  <c r="G11" i="7" s="1"/>
  <c r="L11" i="7" s="1"/>
  <c r="S11" i="7" s="1"/>
  <c r="H10" i="7"/>
  <c r="G10" i="7" s="1"/>
  <c r="L10" i="7" s="1"/>
  <c r="S10" i="7" s="1"/>
  <c r="T10" i="7" s="1"/>
  <c r="H9" i="7"/>
  <c r="G9" i="7" s="1"/>
  <c r="L9" i="7" s="1"/>
  <c r="S9" i="7" s="1"/>
  <c r="H19" i="7" l="1"/>
  <c r="G53" i="10"/>
  <c r="L13" i="7"/>
  <c r="S13" i="7" s="1"/>
  <c r="E40" i="10"/>
  <c r="F40" i="10"/>
  <c r="D40" i="10"/>
  <c r="S14" i="7" l="1"/>
  <c r="Q19" i="7"/>
  <c r="G19" i="7"/>
  <c r="L19" i="7" l="1"/>
  <c r="F25" i="10" l="1"/>
  <c r="E25" i="10" l="1"/>
  <c r="D25" i="10"/>
  <c r="G25" i="10" l="1"/>
  <c r="Q26" i="2" l="1"/>
  <c r="R26" i="2" s="1"/>
  <c r="T26" i="2" s="1"/>
  <c r="T22" i="2"/>
  <c r="R23" i="2"/>
  <c r="Q28" i="2"/>
  <c r="R28" i="2"/>
  <c r="G40" i="10"/>
  <c r="M23" i="2" l="1"/>
  <c r="T23" i="2" s="1"/>
  <c r="M15" i="2"/>
  <c r="T15" i="2" l="1"/>
  <c r="T7" i="2" l="1"/>
  <c r="K28" i="2"/>
  <c r="M8" i="2" l="1"/>
  <c r="J28" i="2"/>
  <c r="T8" i="2" l="1"/>
  <c r="T28" i="2" s="1"/>
  <c r="M28" i="2"/>
  <c r="S19" i="7"/>
  <c r="T31" i="2" l="1"/>
</calcChain>
</file>

<file path=xl/sharedStrings.xml><?xml version="1.0" encoding="utf-8"?>
<sst xmlns="http://schemas.openxmlformats.org/spreadsheetml/2006/main" count="189" uniqueCount="97">
  <si>
    <t>FOLHA DE PAGAMENTO</t>
  </si>
  <si>
    <t xml:space="preserve">        Pagamentos</t>
  </si>
  <si>
    <t xml:space="preserve">                    Deduções</t>
  </si>
  <si>
    <t>Salário</t>
  </si>
  <si>
    <t>Saldo a</t>
  </si>
  <si>
    <t>Nº</t>
  </si>
  <si>
    <t>Funcionários</t>
  </si>
  <si>
    <t>Adicional</t>
  </si>
  <si>
    <t>Total</t>
  </si>
  <si>
    <t>INSS</t>
  </si>
  <si>
    <t>Deduções</t>
  </si>
  <si>
    <t>Família</t>
  </si>
  <si>
    <t>Receber</t>
  </si>
  <si>
    <t>TOTAIS = = &gt;</t>
  </si>
  <si>
    <t>Solange Jesus Koga Lima</t>
  </si>
  <si>
    <t>Ângela Maria dos S. Gonçalves</t>
  </si>
  <si>
    <t>Carlene R. da Cunha Manrique</t>
  </si>
  <si>
    <t>Entrada</t>
  </si>
  <si>
    <t>Aniv.</t>
  </si>
  <si>
    <t>Salário dobra</t>
  </si>
  <si>
    <t>Aniversário</t>
  </si>
  <si>
    <t>Maria Márcia B. Souza</t>
  </si>
  <si>
    <t>Elaine Batista Oliveira</t>
  </si>
  <si>
    <t>FUNCIONÁRIOS</t>
  </si>
  <si>
    <t>TOTAL</t>
  </si>
  <si>
    <t>Reginalda Canuto Machado Silva</t>
  </si>
  <si>
    <t>Ellizainne Janine Silva</t>
  </si>
  <si>
    <t>MENS./FILHOS/SOBRINHOS</t>
  </si>
  <si>
    <t>ADIANT</t>
  </si>
  <si>
    <t>Hellen Alves Lemes</t>
  </si>
  <si>
    <t>DSR</t>
  </si>
  <si>
    <t>TOTAL SALÁRIO</t>
  </si>
  <si>
    <t>SALÁRIO S/ DSR</t>
  </si>
  <si>
    <t>Salário base</t>
  </si>
  <si>
    <t xml:space="preserve">Adicional </t>
  </si>
  <si>
    <t xml:space="preserve">Salário base </t>
  </si>
  <si>
    <t>Salário S/ DSR</t>
  </si>
  <si>
    <t>ADIANT.</t>
  </si>
  <si>
    <t>TOTAL DESCONTOS</t>
  </si>
  <si>
    <t>DESCONTO PROF EDUC. INFANTIL E FUNDAMENTAL I</t>
  </si>
  <si>
    <t>DESCONTO ADMINISTRATIVO</t>
  </si>
  <si>
    <t>DESCONTO FUNDAMENTAL II</t>
  </si>
  <si>
    <t>Lucilene Maria Montelo</t>
  </si>
  <si>
    <t>AG./APOST/UNIF</t>
  </si>
  <si>
    <t>Maria Angélica de Araújo</t>
  </si>
  <si>
    <t>Aurio Velozo dos Santos Godoy</t>
  </si>
  <si>
    <t>FUNDAMENTAL II</t>
  </si>
  <si>
    <t>OUTROS</t>
  </si>
  <si>
    <t>OBSERVAÇÃO</t>
  </si>
  <si>
    <t>Janete de Freitas Rodrigues</t>
  </si>
  <si>
    <t>UNIF.</t>
  </si>
  <si>
    <t>TOTAL = = &gt;</t>
  </si>
  <si>
    <t>Ana Flávia de Jesus Luciano</t>
  </si>
  <si>
    <t>Rossania Brigida R.Ribeiro</t>
  </si>
  <si>
    <t>Wânia Marques Silva</t>
  </si>
  <si>
    <t>Jean Divino de Jesus</t>
  </si>
  <si>
    <t>IRRF</t>
  </si>
  <si>
    <t>1/3 férias</t>
  </si>
  <si>
    <t>Gratificação</t>
  </si>
  <si>
    <t>Sthéfanny Guimarães</t>
  </si>
  <si>
    <t>GPS</t>
  </si>
  <si>
    <t>Selma dos Reis Teixeira Gonçalves</t>
  </si>
  <si>
    <t>Mayara Lorrayne da Silva</t>
  </si>
  <si>
    <t>Selma 1 hora extra por dia</t>
  </si>
  <si>
    <t xml:space="preserve"> </t>
  </si>
  <si>
    <t>Keila Regina de Oliveira</t>
  </si>
  <si>
    <t xml:space="preserve">Joseane Silva Leite </t>
  </si>
  <si>
    <t>Evelyn Emylly Moreira dos Reis</t>
  </si>
  <si>
    <t>Maria da Conceição Bezerra da Silva</t>
  </si>
  <si>
    <t>aulas Elaine fund 1</t>
  </si>
  <si>
    <t>Divino Eterno Bruno Alves Correia</t>
  </si>
  <si>
    <t>Pedro Leandro Oliveira Souza</t>
  </si>
  <si>
    <t>SIND</t>
  </si>
  <si>
    <t>Victória Karoline de Oliveira Menezes</t>
  </si>
  <si>
    <t>desconto credito trabalhista</t>
  </si>
  <si>
    <t xml:space="preserve">Luciany Maria da Silva </t>
  </si>
  <si>
    <t>Carolina Cardoso Miranda</t>
  </si>
  <si>
    <t>Mariana Alves de Deus</t>
  </si>
  <si>
    <t>12/01/206</t>
  </si>
  <si>
    <t>Valdirene da Silva Cunha</t>
  </si>
  <si>
    <t>Tatiana Vieira da Silva</t>
  </si>
  <si>
    <t>Pollyanna Aparecida de Souza</t>
  </si>
  <si>
    <t>Sarau filhos</t>
  </si>
  <si>
    <t>Caio de Medeiros Rezende</t>
  </si>
  <si>
    <t>,</t>
  </si>
  <si>
    <t>ADICIONAL RAFAELA</t>
  </si>
  <si>
    <t>mensalidade/lanche/livros francisco</t>
  </si>
  <si>
    <t>Cantina</t>
  </si>
  <si>
    <t>Mensaliade/cantina</t>
  </si>
  <si>
    <t>01/05/2026 a 31/05/2026</t>
  </si>
  <si>
    <t>sindicato</t>
  </si>
  <si>
    <t>Adriane Cristina Siqueira</t>
  </si>
  <si>
    <t>Livros/ conseguinado</t>
  </si>
  <si>
    <t>Cantina/falta</t>
  </si>
  <si>
    <t>Cantina/sindicato</t>
  </si>
  <si>
    <t>Consiguinado</t>
  </si>
  <si>
    <t>ADICIONAL  RAFAELA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</si>
</sst>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8" formatCode="&quot;R$&quot;\ #,##0.00;[Red]\-&quot;R$&quot;\ #,##0.00"/>
    <numFmt numFmtId="43" formatCode="_-* #,##0.00_-;\-* #,##0.00_-;_-* &quot;-&quot;??_-;_-@_-"/>
    <numFmt numFmtId="164" formatCode="_(* #,##0.00_);_(* \(#,##0.00\);_(* &quot;-&quot;??_);_(@_)"/>
    <numFmt numFmtId="165" formatCode="_(&quot;Cr$&quot;* #,##0.00_);_(&quot;Cr$&quot;* \(#,##0.00\);_(&quot;Cr$&quot;* &quot;-&quot;??_);_(@_)"/>
    <numFmt numFmtId="166" formatCode="d/m/yy"/>
    <numFmt numFmtId="167" formatCode="#,##0.00;[Red]#,##0.00"/>
    <numFmt numFmtId="168" formatCode="d/m;@"/>
    <numFmt numFmtId="169" formatCode="dd/mm/yy;@"/>
    <numFmt numFmtId="170" formatCode="[$-416]General"/>
    <numFmt numFmtId="171" formatCode="#,##0.00&quot; &quot;;&quot; (&quot;#,##0.00&quot;)&quot;;&quot; -&quot;#&quot; &quot;;@&quot; &quot;"/>
    <numFmt numFmtId="172" formatCode="d/m"/>
    <numFmt numFmtId="173" formatCode="dd/mm/yy"/>
  </numFmts>
  <fonts count="21" x14ac:knownFonts="1">
    <font>
      <sz val="12"/>
      <name val="Bookman Old Style"/>
    </font>
    <font>
      <sz val="12"/>
      <name val="Bookman Old Style"/>
      <family val="1"/>
    </font>
    <font>
      <b/>
      <sz val="12"/>
      <name val="Bookman Old Style"/>
      <family val="1"/>
    </font>
    <font>
      <b/>
      <sz val="12"/>
      <color rgb="FFFF0000"/>
      <name val="Bookman Old Style"/>
      <family val="1"/>
    </font>
    <font>
      <sz val="11"/>
      <color theme="4"/>
      <name val="Bookman Old Style"/>
      <family val="1"/>
    </font>
    <font>
      <b/>
      <sz val="14"/>
      <color rgb="FFFF0000"/>
      <name val="Calibri"/>
      <family val="2"/>
      <scheme val="minor"/>
    </font>
    <font>
      <sz val="14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2"/>
      <color rgb="FFFF0000"/>
      <name val="Arial"/>
      <family val="2"/>
    </font>
    <font>
      <b/>
      <sz val="12"/>
      <color theme="4"/>
      <name val="Arial"/>
      <family val="2"/>
    </font>
    <font>
      <b/>
      <sz val="12"/>
      <name val="Arial"/>
      <family val="2"/>
    </font>
    <font>
      <sz val="12"/>
      <color theme="4"/>
      <name val="Arial"/>
      <family val="2"/>
    </font>
    <font>
      <b/>
      <sz val="12"/>
      <color theme="1"/>
      <name val="Arial"/>
      <family val="2"/>
    </font>
    <font>
      <b/>
      <sz val="12"/>
      <color rgb="FF333333"/>
      <name val="Arial"/>
      <family val="2"/>
    </font>
    <font>
      <sz val="12"/>
      <color theme="1"/>
      <name val="Bookman Old Style"/>
      <family val="1"/>
    </font>
    <font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14"/>
      <color rgb="FF1A577B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16" fillId="0" borderId="0"/>
    <xf numFmtId="171" fontId="16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2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7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4" fontId="7" fillId="0" borderId="1" xfId="0" applyNumberFormat="1" applyFont="1" applyBorder="1" applyAlignment="1">
      <alignment horizontal="right"/>
    </xf>
    <xf numFmtId="164" fontId="7" fillId="0" borderId="1" xfId="2" applyFont="1" applyFill="1" applyBorder="1"/>
    <xf numFmtId="164" fontId="7" fillId="0" borderId="1" xfId="2" applyFont="1" applyFill="1" applyBorder="1" applyAlignment="1">
      <alignment horizontal="center"/>
    </xf>
    <xf numFmtId="168" fontId="6" fillId="7" borderId="1" xfId="0" applyNumberFormat="1" applyFont="1" applyFill="1" applyBorder="1"/>
    <xf numFmtId="164" fontId="6" fillId="7" borderId="1" xfId="2" applyFont="1" applyFill="1" applyBorder="1" applyAlignment="1">
      <alignment horizontal="right"/>
    </xf>
    <xf numFmtId="164" fontId="6" fillId="0" borderId="1" xfId="2" applyFont="1" applyFill="1" applyBorder="1"/>
    <xf numFmtId="164" fontId="6" fillId="0" borderId="1" xfId="2" applyFont="1" applyFill="1" applyBorder="1" applyAlignment="1">
      <alignment horizontal="center"/>
    </xf>
    <xf numFmtId="164" fontId="6" fillId="0" borderId="1" xfId="2" applyFont="1" applyFill="1" applyBorder="1" applyAlignment="1">
      <alignment horizontal="right"/>
    </xf>
    <xf numFmtId="0" fontId="6" fillId="2" borderId="1" xfId="0" applyFont="1" applyFill="1" applyBorder="1"/>
    <xf numFmtId="4" fontId="6" fillId="2" borderId="1" xfId="0" applyNumberFormat="1" applyFont="1" applyFill="1" applyBorder="1" applyAlignment="1">
      <alignment horizontal="right"/>
    </xf>
    <xf numFmtId="168" fontId="6" fillId="6" borderId="1" xfId="0" applyNumberFormat="1" applyFont="1" applyFill="1" applyBorder="1"/>
    <xf numFmtId="164" fontId="7" fillId="0" borderId="1" xfId="0" applyNumberFormat="1" applyFont="1" applyBorder="1"/>
    <xf numFmtId="0" fontId="7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164" fontId="14" fillId="0" borderId="1" xfId="2" applyFont="1" applyFill="1" applyBorder="1" applyAlignment="1">
      <alignment horizontal="center"/>
    </xf>
    <xf numFmtId="164" fontId="14" fillId="5" borderId="1" xfId="2" applyFont="1" applyFill="1" applyBorder="1" applyAlignment="1">
      <alignment horizontal="center"/>
    </xf>
    <xf numFmtId="164" fontId="10" fillId="0" borderId="1" xfId="2" applyFont="1" applyFill="1" applyBorder="1" applyAlignment="1">
      <alignment horizontal="center"/>
    </xf>
    <xf numFmtId="164" fontId="14" fillId="0" borderId="1" xfId="2" applyFont="1" applyFill="1" applyBorder="1"/>
    <xf numFmtId="164" fontId="12" fillId="0" borderId="1" xfId="2" applyFont="1" applyFill="1" applyBorder="1"/>
    <xf numFmtId="164" fontId="14" fillId="5" borderId="1" xfId="2" applyFont="1" applyFill="1" applyBorder="1"/>
    <xf numFmtId="43" fontId="12" fillId="0" borderId="3" xfId="0" applyNumberFormat="1" applyFont="1" applyBorder="1"/>
    <xf numFmtId="43" fontId="14" fillId="0" borderId="1" xfId="0" applyNumberFormat="1" applyFont="1" applyBorder="1"/>
    <xf numFmtId="164" fontId="8" fillId="0" borderId="1" xfId="2" applyFont="1" applyFill="1" applyBorder="1"/>
    <xf numFmtId="164" fontId="15" fillId="0" borderId="1" xfId="2" applyFont="1" applyFill="1" applyBorder="1"/>
    <xf numFmtId="4" fontId="12" fillId="0" borderId="1" xfId="0" applyNumberFormat="1" applyFont="1" applyBorder="1" applyAlignment="1">
      <alignment horizontal="right"/>
    </xf>
    <xf numFmtId="164" fontId="12" fillId="0" borderId="1" xfId="2" applyFont="1" applyFill="1" applyBorder="1" applyAlignment="1">
      <alignment horizontal="center"/>
    </xf>
    <xf numFmtId="164" fontId="14" fillId="7" borderId="1" xfId="2" applyFont="1" applyFill="1" applyBorder="1" applyAlignment="1">
      <alignment horizontal="center"/>
    </xf>
    <xf numFmtId="164" fontId="14" fillId="0" borderId="3" xfId="2" applyFont="1" applyFill="1" applyBorder="1"/>
    <xf numFmtId="164" fontId="6" fillId="0" borderId="1" xfId="2" applyFont="1" applyFill="1" applyBorder="1" applyAlignment="1">
      <alignment horizontal="right" vertical="center" wrapText="1"/>
    </xf>
    <xf numFmtId="0" fontId="17" fillId="0" borderId="1" xfId="0" applyFont="1" applyBorder="1"/>
    <xf numFmtId="164" fontId="9" fillId="7" borderId="1" xfId="2" applyFont="1" applyFill="1" applyBorder="1" applyAlignment="1">
      <alignment horizontal="center"/>
    </xf>
    <xf numFmtId="164" fontId="11" fillId="0" borderId="1" xfId="2" applyFont="1" applyFill="1" applyBorder="1" applyAlignment="1">
      <alignment horizontal="center" wrapText="1"/>
    </xf>
    <xf numFmtId="164" fontId="7" fillId="0" borderId="1" xfId="2" applyFont="1" applyFill="1" applyBorder="1" applyAlignment="1"/>
    <xf numFmtId="0" fontId="7" fillId="0" borderId="1" xfId="0" applyFont="1" applyBorder="1" applyAlignment="1">
      <alignment horizontal="left"/>
    </xf>
    <xf numFmtId="164" fontId="6" fillId="6" borderId="1" xfId="2" applyFont="1" applyFill="1" applyBorder="1" applyAlignment="1">
      <alignment horizontal="right"/>
    </xf>
    <xf numFmtId="0" fontId="13" fillId="0" borderId="1" xfId="0" applyFont="1" applyBorder="1" applyAlignment="1">
      <alignment horizontal="center"/>
    </xf>
    <xf numFmtId="164" fontId="19" fillId="0" borderId="1" xfId="2" applyFont="1" applyBorder="1" applyAlignment="1">
      <alignment horizontal="right"/>
    </xf>
    <xf numFmtId="164" fontId="19" fillId="0" borderId="1" xfId="2" applyFont="1" applyFill="1" applyBorder="1" applyAlignment="1">
      <alignment horizontal="right"/>
    </xf>
    <xf numFmtId="164" fontId="7" fillId="0" borderId="1" xfId="2" applyFont="1" applyBorder="1"/>
    <xf numFmtId="0" fontId="7" fillId="0" borderId="1" xfId="0" applyFont="1" applyBorder="1" applyAlignment="1">
      <alignment horizontal="center"/>
    </xf>
    <xf numFmtId="164" fontId="7" fillId="0" borderId="1" xfId="2" applyFont="1" applyBorder="1" applyAlignment="1"/>
    <xf numFmtId="164" fontId="10" fillId="0" borderId="1" xfId="2" applyFont="1" applyFill="1" applyBorder="1"/>
    <xf numFmtId="164" fontId="3" fillId="0" borderId="0" xfId="2" applyFont="1" applyFill="1"/>
    <xf numFmtId="0" fontId="0" fillId="0" borderId="1" xfId="0" applyBorder="1"/>
    <xf numFmtId="164" fontId="10" fillId="0" borderId="1" xfId="2" applyFont="1" applyBorder="1"/>
    <xf numFmtId="43" fontId="3" fillId="0" borderId="0" xfId="0" applyNumberFormat="1" applyFont="1"/>
    <xf numFmtId="164" fontId="12" fillId="0" borderId="1" xfId="2" applyFont="1" applyFill="1" applyBorder="1" applyAlignment="1">
      <alignment horizontal="right"/>
    </xf>
    <xf numFmtId="164" fontId="6" fillId="7" borderId="1" xfId="2" applyFont="1" applyFill="1" applyBorder="1" applyAlignment="1">
      <alignment horizontal="right" vertical="center" wrapText="1"/>
    </xf>
    <xf numFmtId="164" fontId="6" fillId="7" borderId="1" xfId="2" applyFont="1" applyFill="1" applyBorder="1"/>
    <xf numFmtId="0" fontId="6" fillId="7" borderId="1" xfId="5" applyFont="1" applyFill="1" applyBorder="1"/>
    <xf numFmtId="169" fontId="6" fillId="0" borderId="1" xfId="5" applyNumberFormat="1" applyFont="1" applyBorder="1" applyAlignment="1">
      <alignment horizontal="center"/>
    </xf>
    <xf numFmtId="0" fontId="6" fillId="7" borderId="1" xfId="6" applyFont="1" applyFill="1" applyBorder="1"/>
    <xf numFmtId="164" fontId="6" fillId="7" borderId="1" xfId="2" applyFont="1" applyFill="1" applyBorder="1" applyAlignment="1">
      <alignment horizontal="center" vertical="center"/>
    </xf>
    <xf numFmtId="164" fontId="6" fillId="0" borderId="1" xfId="2" applyFont="1" applyFill="1" applyBorder="1" applyAlignment="1">
      <alignment horizontal="center" vertical="center"/>
    </xf>
    <xf numFmtId="164" fontId="6" fillId="6" borderId="1" xfId="2" applyFont="1" applyFill="1" applyBorder="1" applyAlignment="1">
      <alignment horizontal="center" vertical="center"/>
    </xf>
    <xf numFmtId="164" fontId="14" fillId="7" borderId="1" xfId="2" applyFont="1" applyFill="1" applyBorder="1"/>
    <xf numFmtId="169" fontId="6" fillId="7" borderId="1" xfId="5" applyNumberFormat="1" applyFont="1" applyFill="1" applyBorder="1" applyAlignment="1">
      <alignment horizontal="center"/>
    </xf>
    <xf numFmtId="0" fontId="19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/>
    </xf>
    <xf numFmtId="164" fontId="6" fillId="8" borderId="1" xfId="2" applyFont="1" applyFill="1" applyBorder="1" applyAlignment="1">
      <alignment horizontal="right"/>
    </xf>
    <xf numFmtId="168" fontId="6" fillId="0" borderId="1" xfId="0" applyNumberFormat="1" applyFont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167" fontId="6" fillId="7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4" fontId="6" fillId="3" borderId="1" xfId="0" applyNumberFormat="1" applyFont="1" applyFill="1" applyBorder="1" applyAlignment="1" applyProtection="1">
      <alignment horizontal="right"/>
      <protection locked="0" hidden="1"/>
    </xf>
    <xf numFmtId="4" fontId="6" fillId="7" borderId="1" xfId="0" applyNumberFormat="1" applyFont="1" applyFill="1" applyBorder="1" applyAlignment="1">
      <alignment horizontal="right"/>
    </xf>
    <xf numFmtId="167" fontId="6" fillId="3" borderId="1" xfId="1" applyNumberFormat="1" applyFont="1" applyFill="1" applyBorder="1" applyAlignment="1">
      <alignment horizontal="right"/>
    </xf>
    <xf numFmtId="4" fontId="6" fillId="3" borderId="1" xfId="0" applyNumberFormat="1" applyFont="1" applyFill="1" applyBorder="1" applyAlignment="1">
      <alignment horizontal="right"/>
    </xf>
    <xf numFmtId="167" fontId="6" fillId="7" borderId="1" xfId="0" applyNumberFormat="1" applyFont="1" applyFill="1" applyBorder="1"/>
    <xf numFmtId="0" fontId="6" fillId="7" borderId="4" xfId="0" applyFont="1" applyFill="1" applyBorder="1"/>
    <xf numFmtId="14" fontId="6" fillId="7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168" fontId="6" fillId="7" borderId="1" xfId="5" applyNumberFormat="1" applyFont="1" applyFill="1" applyBorder="1" applyAlignment="1">
      <alignment horizontal="center" vertical="center"/>
    </xf>
    <xf numFmtId="0" fontId="6" fillId="0" borderId="0" xfId="0" applyFont="1"/>
    <xf numFmtId="168" fontId="6" fillId="7" borderId="1" xfId="5" applyNumberFormat="1" applyFont="1" applyFill="1" applyBorder="1" applyAlignment="1">
      <alignment horizontal="right"/>
    </xf>
    <xf numFmtId="164" fontId="6" fillId="0" borderId="2" xfId="2" applyFont="1" applyFill="1" applyBorder="1" applyAlignment="1">
      <alignment horizontal="right"/>
    </xf>
    <xf numFmtId="0" fontId="10" fillId="0" borderId="2" xfId="0" applyFont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/>
    </xf>
    <xf numFmtId="0" fontId="6" fillId="7" borderId="0" xfId="0" applyFont="1" applyFill="1"/>
    <xf numFmtId="0" fontId="6" fillId="0" borderId="0" xfId="0" applyFont="1" applyAlignment="1">
      <alignment horizontal="right"/>
    </xf>
    <xf numFmtId="166" fontId="6" fillId="0" borderId="0" xfId="0" applyNumberFormat="1" applyFont="1"/>
    <xf numFmtId="0" fontId="19" fillId="2" borderId="1" xfId="0" applyFont="1" applyFill="1" applyBorder="1"/>
    <xf numFmtId="0" fontId="19" fillId="3" borderId="1" xfId="0" applyFont="1" applyFill="1" applyBorder="1"/>
    <xf numFmtId="0" fontId="19" fillId="3" borderId="1" xfId="0" applyFont="1" applyFill="1" applyBorder="1" applyAlignment="1">
      <alignment horizontal="right"/>
    </xf>
    <xf numFmtId="0" fontId="18" fillId="0" borderId="1" xfId="0" applyFont="1" applyBorder="1"/>
    <xf numFmtId="169" fontId="6" fillId="7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20" fillId="0" borderId="0" xfId="0" applyFont="1" applyAlignment="1">
      <alignment vertical="center" wrapText="1"/>
    </xf>
    <xf numFmtId="4" fontId="18" fillId="0" borderId="0" xfId="0" applyNumberFormat="1" applyFont="1"/>
    <xf numFmtId="0" fontId="6" fillId="2" borderId="1" xfId="0" applyFont="1" applyFill="1" applyBorder="1" applyAlignment="1">
      <alignment horizontal="center" wrapText="1" shrinkToFit="1"/>
    </xf>
    <xf numFmtId="164" fontId="6" fillId="3" borderId="1" xfId="2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169" fontId="6" fillId="0" borderId="1" xfId="0" applyNumberFormat="1" applyFont="1" applyBorder="1" applyAlignment="1">
      <alignment horizontal="right"/>
    </xf>
    <xf numFmtId="169" fontId="6" fillId="6" borderId="1" xfId="0" applyNumberFormat="1" applyFont="1" applyFill="1" applyBorder="1" applyAlignment="1">
      <alignment horizontal="right"/>
    </xf>
    <xf numFmtId="43" fontId="18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3" borderId="1" xfId="0" applyFont="1" applyFill="1" applyBorder="1"/>
    <xf numFmtId="8" fontId="6" fillId="0" borderId="0" xfId="0" applyNumberFormat="1" applyFont="1"/>
    <xf numFmtId="4" fontId="6" fillId="0" borderId="1" xfId="0" applyNumberFormat="1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2" fontId="6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center"/>
    </xf>
    <xf numFmtId="49" fontId="6" fillId="0" borderId="1" xfId="5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/>
    <xf numFmtId="0" fontId="6" fillId="0" borderId="1" xfId="0" applyFont="1" applyFill="1" applyBorder="1"/>
    <xf numFmtId="168" fontId="6" fillId="0" borderId="1" xfId="0" applyNumberFormat="1" applyFont="1" applyFill="1" applyBorder="1"/>
    <xf numFmtId="169" fontId="6" fillId="0" borderId="1" xfId="0" applyNumberFormat="1" applyFont="1" applyFill="1" applyBorder="1"/>
    <xf numFmtId="0" fontId="6" fillId="0" borderId="0" xfId="0" applyFont="1" applyFill="1"/>
    <xf numFmtId="164" fontId="14" fillId="10" borderId="1" xfId="2" applyFont="1" applyFill="1" applyBorder="1" applyAlignment="1">
      <alignment horizontal="center"/>
    </xf>
    <xf numFmtId="0" fontId="6" fillId="7" borderId="0" xfId="0" applyFont="1" applyFill="1" applyAlignment="1">
      <alignment horizontal="right"/>
    </xf>
    <xf numFmtId="0" fontId="6" fillId="7" borderId="5" xfId="5" applyFont="1" applyFill="1" applyBorder="1"/>
    <xf numFmtId="168" fontId="6" fillId="7" borderId="5" xfId="0" applyNumberFormat="1" applyFont="1" applyFill="1" applyBorder="1"/>
    <xf numFmtId="169" fontId="6" fillId="7" borderId="5" xfId="0" applyNumberFormat="1" applyFont="1" applyFill="1" applyBorder="1" applyAlignment="1">
      <alignment horizontal="center"/>
    </xf>
    <xf numFmtId="0" fontId="6" fillId="0" borderId="2" xfId="0" applyFont="1" applyFill="1" applyBorder="1"/>
    <xf numFmtId="0" fontId="9" fillId="7" borderId="1" xfId="0" applyFont="1" applyFill="1" applyBorder="1"/>
    <xf numFmtId="172" fontId="9" fillId="9" borderId="1" xfId="0" applyNumberFormat="1" applyFont="1" applyFill="1" applyBorder="1" applyAlignment="1">
      <alignment horizontal="center"/>
    </xf>
    <xf numFmtId="173" fontId="9" fillId="7" borderId="1" xfId="0" applyNumberFormat="1" applyFont="1" applyFill="1" applyBorder="1" applyAlignment="1">
      <alignment horizontal="center"/>
    </xf>
    <xf numFmtId="4" fontId="6" fillId="7" borderId="1" xfId="0" applyNumberFormat="1" applyFont="1" applyFill="1" applyBorder="1" applyAlignment="1" applyProtection="1">
      <alignment horizontal="right"/>
      <protection locked="0" hidden="1"/>
    </xf>
    <xf numFmtId="0" fontId="6" fillId="7" borderId="1" xfId="0" applyFont="1" applyFill="1" applyBorder="1" applyAlignment="1">
      <alignment horizontal="center"/>
    </xf>
    <xf numFmtId="49" fontId="6" fillId="7" borderId="1" xfId="0" applyNumberFormat="1" applyFont="1" applyFill="1" applyBorder="1"/>
    <xf numFmtId="167" fontId="6" fillId="7" borderId="1" xfId="0" applyNumberFormat="1" applyFont="1" applyFill="1" applyBorder="1" applyAlignment="1">
      <alignment horizontal="right" vertical="center" wrapText="1"/>
    </xf>
    <xf numFmtId="43" fontId="18" fillId="7" borderId="1" xfId="0" applyNumberFormat="1" applyFont="1" applyFill="1" applyBorder="1" applyAlignment="1">
      <alignment horizontal="center"/>
    </xf>
    <xf numFmtId="0" fontId="9" fillId="7" borderId="5" xfId="0" applyFont="1" applyFill="1" applyBorder="1"/>
    <xf numFmtId="172" fontId="9" fillId="7" borderId="1" xfId="0" applyNumberFormat="1" applyFont="1" applyFill="1" applyBorder="1" applyAlignment="1">
      <alignment horizontal="center"/>
    </xf>
    <xf numFmtId="4" fontId="9" fillId="7" borderId="1" xfId="0" applyNumberFormat="1" applyFont="1" applyFill="1" applyBorder="1" applyAlignment="1">
      <alignment horizontal="center" vertical="center"/>
    </xf>
    <xf numFmtId="164" fontId="6" fillId="7" borderId="1" xfId="2" applyFont="1" applyFill="1" applyBorder="1" applyAlignment="1">
      <alignment horizontal="center"/>
    </xf>
    <xf numFmtId="164" fontId="6" fillId="7" borderId="1" xfId="2" applyFont="1" applyFill="1" applyBorder="1" applyAlignment="1">
      <alignment horizontal="center" wrapText="1" shrinkToFit="1"/>
    </xf>
    <xf numFmtId="0" fontId="9" fillId="9" borderId="5" xfId="0" applyFont="1" applyFill="1" applyBorder="1" applyAlignment="1">
      <alignment horizontal="left"/>
    </xf>
    <xf numFmtId="172" fontId="9" fillId="11" borderId="5" xfId="0" applyNumberFormat="1" applyFont="1" applyFill="1" applyBorder="1" applyAlignment="1">
      <alignment horizontal="center"/>
    </xf>
    <xf numFmtId="14" fontId="9" fillId="9" borderId="5" xfId="0" applyNumberFormat="1" applyFont="1" applyFill="1" applyBorder="1" applyAlignment="1">
      <alignment horizontal="center"/>
    </xf>
    <xf numFmtId="4" fontId="9" fillId="9" borderId="5" xfId="0" applyNumberFormat="1" applyFont="1" applyFill="1" applyBorder="1" applyAlignment="1">
      <alignment horizontal="center" vertical="center"/>
    </xf>
    <xf numFmtId="0" fontId="6" fillId="4" borderId="3" xfId="5" applyFont="1" applyFill="1" applyBorder="1"/>
    <xf numFmtId="0" fontId="6" fillId="12" borderId="1" xfId="0" applyFont="1" applyFill="1" applyBorder="1"/>
    <xf numFmtId="43" fontId="6" fillId="0" borderId="0" xfId="0" applyNumberFormat="1" applyFont="1"/>
    <xf numFmtId="0" fontId="6" fillId="4" borderId="0" xfId="0" applyFont="1" applyFill="1"/>
    <xf numFmtId="169" fontId="6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2" fontId="6" fillId="7" borderId="1" xfId="0" applyNumberFormat="1" applyFont="1" applyFill="1" applyBorder="1" applyAlignment="1">
      <alignment horizontal="right"/>
    </xf>
    <xf numFmtId="0" fontId="6" fillId="7" borderId="5" xfId="0" applyFont="1" applyFill="1" applyBorder="1"/>
    <xf numFmtId="164" fontId="6" fillId="0" borderId="3" xfId="2" applyFont="1" applyFill="1" applyBorder="1" applyAlignment="1">
      <alignment horizontal="right"/>
    </xf>
    <xf numFmtId="49" fontId="6" fillId="7" borderId="5" xfId="0" applyNumberFormat="1" applyFont="1" applyFill="1" applyBorder="1"/>
    <xf numFmtId="4" fontId="6" fillId="7" borderId="5" xfId="0" applyNumberFormat="1" applyFont="1" applyFill="1" applyBorder="1" applyAlignment="1">
      <alignment horizontal="right"/>
    </xf>
    <xf numFmtId="0" fontId="6" fillId="7" borderId="0" xfId="5" applyFont="1" applyFill="1" applyBorder="1"/>
    <xf numFmtId="168" fontId="6" fillId="7" borderId="0" xfId="5" applyNumberFormat="1" applyFont="1" applyFill="1" applyBorder="1" applyAlignment="1">
      <alignment horizontal="center" vertical="center"/>
    </xf>
    <xf numFmtId="169" fontId="6" fillId="7" borderId="0" xfId="5" applyNumberFormat="1" applyFont="1" applyFill="1" applyBorder="1" applyAlignment="1">
      <alignment horizontal="center"/>
    </xf>
    <xf numFmtId="0" fontId="6" fillId="7" borderId="0" xfId="0" applyFont="1" applyFill="1" applyBorder="1"/>
    <xf numFmtId="0" fontId="18" fillId="0" borderId="1" xfId="0" applyFont="1" applyFill="1" applyBorder="1"/>
    <xf numFmtId="164" fontId="6" fillId="7" borderId="5" xfId="2" applyFont="1" applyFill="1" applyBorder="1" applyAlignment="1">
      <alignment horizontal="center" vertical="center"/>
    </xf>
    <xf numFmtId="0" fontId="6" fillId="0" borderId="0" xfId="0" applyFont="1" applyBorder="1"/>
    <xf numFmtId="167" fontId="6" fillId="7" borderId="1" xfId="5" applyNumberFormat="1" applyFont="1" applyFill="1" applyBorder="1" applyAlignment="1">
      <alignment horizontal="center"/>
    </xf>
    <xf numFmtId="0" fontId="6" fillId="12" borderId="0" xfId="5" applyFont="1" applyFill="1" applyBorder="1"/>
    <xf numFmtId="0" fontId="6" fillId="0" borderId="1" xfId="6" applyFont="1" applyFill="1" applyBorder="1"/>
    <xf numFmtId="168" fontId="6" fillId="0" borderId="1" xfId="6" applyNumberFormat="1" applyFont="1" applyFill="1" applyBorder="1"/>
    <xf numFmtId="169" fontId="6" fillId="0" borderId="1" xfId="6" applyNumberFormat="1" applyFont="1" applyFill="1" applyBorder="1"/>
    <xf numFmtId="164" fontId="6" fillId="0" borderId="1" xfId="7" applyFont="1" applyFill="1" applyBorder="1" applyAlignment="1">
      <alignment horizontal="right"/>
    </xf>
    <xf numFmtId="167" fontId="6" fillId="0" borderId="1" xfId="6" applyNumberFormat="1" applyFont="1" applyFill="1" applyBorder="1" applyAlignment="1">
      <alignment horizontal="right"/>
    </xf>
    <xf numFmtId="4" fontId="6" fillId="0" borderId="1" xfId="6" applyNumberFormat="1" applyFont="1" applyFill="1" applyBorder="1" applyAlignment="1">
      <alignment horizontal="right"/>
    </xf>
    <xf numFmtId="14" fontId="6" fillId="0" borderId="1" xfId="0" applyNumberFormat="1" applyFont="1" applyFill="1" applyBorder="1"/>
    <xf numFmtId="164" fontId="6" fillId="0" borderId="3" xfId="2" applyFont="1" applyFill="1" applyBorder="1"/>
    <xf numFmtId="168" fontId="6" fillId="0" borderId="1" xfId="0" applyNumberFormat="1" applyFont="1" applyFill="1" applyBorder="1" applyAlignment="1">
      <alignment horizontal="right"/>
    </xf>
    <xf numFmtId="168" fontId="6" fillId="0" borderId="1" xfId="5" applyNumberFormat="1" applyFont="1" applyFill="1" applyBorder="1" applyAlignment="1">
      <alignment horizontal="right"/>
    </xf>
    <xf numFmtId="169" fontId="6" fillId="0" borderId="1" xfId="5" applyNumberFormat="1" applyFont="1" applyFill="1" applyBorder="1"/>
    <xf numFmtId="167" fontId="6" fillId="0" borderId="1" xfId="0" applyNumberFormat="1" applyFont="1" applyFill="1" applyBorder="1" applyAlignment="1">
      <alignment horizontal="right" vertical="center" wrapText="1"/>
    </xf>
    <xf numFmtId="169" fontId="6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19" fillId="2" borderId="2" xfId="0" applyFont="1" applyFill="1" applyBorder="1" applyAlignment="1">
      <alignment horizontal="center"/>
    </xf>
    <xf numFmtId="4" fontId="6" fillId="2" borderId="2" xfId="0" applyNumberFormat="1" applyFont="1" applyFill="1" applyBorder="1" applyAlignment="1">
      <alignment horizontal="right"/>
    </xf>
    <xf numFmtId="0" fontId="18" fillId="0" borderId="0" xfId="0" applyFont="1" applyBorder="1" applyAlignment="1">
      <alignment horizontal="left"/>
    </xf>
    <xf numFmtId="43" fontId="6" fillId="0" borderId="0" xfId="0" applyNumberFormat="1" applyFont="1" applyBorder="1"/>
    <xf numFmtId="0" fontId="18" fillId="7" borderId="0" xfId="0" applyFont="1" applyFill="1" applyBorder="1" applyAlignment="1">
      <alignment horizontal="left"/>
    </xf>
    <xf numFmtId="164" fontId="18" fillId="7" borderId="0" xfId="2" applyFont="1" applyFill="1" applyBorder="1" applyAlignment="1">
      <alignment horizontal="left"/>
    </xf>
    <xf numFmtId="164" fontId="18" fillId="0" borderId="0" xfId="2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64" fontId="6" fillId="0" borderId="0" xfId="2" applyFont="1" applyFill="1" applyBorder="1" applyAlignment="1">
      <alignment horizontal="right"/>
    </xf>
    <xf numFmtId="0" fontId="9" fillId="7" borderId="0" xfId="0" applyFont="1" applyFill="1" applyBorder="1"/>
    <xf numFmtId="8" fontId="6" fillId="0" borderId="0" xfId="0" applyNumberFormat="1" applyFont="1" applyFill="1"/>
    <xf numFmtId="16" fontId="6" fillId="0" borderId="1" xfId="0" applyNumberFormat="1" applyFont="1" applyFill="1" applyBorder="1"/>
    <xf numFmtId="8" fontId="6" fillId="7" borderId="0" xfId="0" applyNumberFormat="1" applyFont="1" applyFill="1"/>
    <xf numFmtId="164" fontId="6" fillId="4" borderId="1" xfId="2" applyFont="1" applyFill="1" applyBorder="1" applyAlignment="1">
      <alignment horizontal="right"/>
    </xf>
    <xf numFmtId="0" fontId="6" fillId="13" borderId="1" xfId="0" applyFont="1" applyFill="1" applyBorder="1"/>
    <xf numFmtId="168" fontId="6" fillId="13" borderId="1" xfId="0" applyNumberFormat="1" applyFont="1" applyFill="1" applyBorder="1"/>
    <xf numFmtId="169" fontId="6" fillId="13" borderId="1" xfId="0" applyNumberFormat="1" applyFont="1" applyFill="1" applyBorder="1"/>
    <xf numFmtId="164" fontId="6" fillId="13" borderId="1" xfId="2" applyFont="1" applyFill="1" applyBorder="1" applyAlignment="1">
      <alignment horizontal="right"/>
    </xf>
    <xf numFmtId="164" fontId="6" fillId="13" borderId="1" xfId="2" applyFont="1" applyFill="1" applyBorder="1" applyAlignment="1">
      <alignment horizontal="right" vertical="center" wrapText="1"/>
    </xf>
    <xf numFmtId="0" fontId="18" fillId="7" borderId="1" xfId="0" applyFont="1" applyFill="1" applyBorder="1"/>
    <xf numFmtId="0" fontId="18" fillId="7" borderId="1" xfId="0" applyFont="1" applyFill="1" applyBorder="1" applyAlignment="1">
      <alignment horizontal="center"/>
    </xf>
    <xf numFmtId="49" fontId="6" fillId="0" borderId="0" xfId="0" applyNumberFormat="1" applyFont="1" applyFill="1" applyBorder="1"/>
    <xf numFmtId="49" fontId="6" fillId="0" borderId="5" xfId="0" applyNumberFormat="1" applyFont="1" applyFill="1" applyBorder="1"/>
    <xf numFmtId="0" fontId="9" fillId="0" borderId="5" xfId="0" applyFont="1" applyFill="1" applyBorder="1" applyAlignment="1">
      <alignment horizontal="left"/>
    </xf>
    <xf numFmtId="0" fontId="6" fillId="0" borderId="1" xfId="5" applyFont="1" applyFill="1" applyBorder="1"/>
    <xf numFmtId="0" fontId="9" fillId="0" borderId="5" xfId="0" applyFont="1" applyFill="1" applyBorder="1"/>
    <xf numFmtId="0" fontId="0" fillId="0" borderId="1" xfId="0" applyFill="1" applyBorder="1"/>
    <xf numFmtId="4" fontId="9" fillId="0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right"/>
    </xf>
    <xf numFmtId="172" fontId="9" fillId="0" borderId="5" xfId="0" applyNumberFormat="1" applyFont="1" applyFill="1" applyBorder="1"/>
    <xf numFmtId="173" fontId="9" fillId="0" borderId="5" xfId="0" applyNumberFormat="1" applyFont="1" applyFill="1" applyBorder="1" applyAlignment="1">
      <alignment horizontal="right"/>
    </xf>
    <xf numFmtId="164" fontId="9" fillId="0" borderId="5" xfId="0" applyNumberFormat="1" applyFont="1" applyFill="1" applyBorder="1" applyAlignment="1">
      <alignment horizontal="right"/>
    </xf>
    <xf numFmtId="0" fontId="6" fillId="0" borderId="0" xfId="0" applyFont="1" applyFill="1" applyBorder="1"/>
    <xf numFmtId="0" fontId="1" fillId="0" borderId="1" xfId="0" applyFont="1" applyBorder="1"/>
    <xf numFmtId="164" fontId="14" fillId="0" borderId="0" xfId="2" applyFont="1" applyFill="1" applyBorder="1" applyAlignment="1">
      <alignment horizontal="center"/>
    </xf>
    <xf numFmtId="0" fontId="6" fillId="0" borderId="5" xfId="5" applyFont="1" applyFill="1" applyBorder="1"/>
    <xf numFmtId="0" fontId="6" fillId="0" borderId="4" xfId="0" applyFont="1" applyFill="1" applyBorder="1"/>
    <xf numFmtId="168" fontId="6" fillId="7" borderId="5" xfId="5" applyNumberFormat="1" applyFont="1" applyFill="1" applyBorder="1" applyAlignment="1">
      <alignment horizontal="center" vertical="center"/>
    </xf>
    <xf numFmtId="169" fontId="6" fillId="7" borderId="5" xfId="5" applyNumberFormat="1" applyFont="1" applyFill="1" applyBorder="1" applyAlignment="1">
      <alignment horizontal="center"/>
    </xf>
    <xf numFmtId="164" fontId="6" fillId="0" borderId="0" xfId="2" applyFont="1" applyFill="1" applyBorder="1" applyAlignment="1">
      <alignment horizontal="center"/>
    </xf>
    <xf numFmtId="167" fontId="6" fillId="4" borderId="1" xfId="0" applyNumberFormat="1" applyFont="1" applyFill="1" applyBorder="1"/>
    <xf numFmtId="164" fontId="6" fillId="4" borderId="1" xfId="2" applyFont="1" applyFill="1" applyBorder="1"/>
    <xf numFmtId="2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Fill="1" applyBorder="1"/>
    <xf numFmtId="10" fontId="6" fillId="0" borderId="0" xfId="0" applyNumberFormat="1" applyFont="1"/>
    <xf numFmtId="0" fontId="6" fillId="14" borderId="1" xfId="0" applyFont="1" applyFill="1" applyBorder="1"/>
    <xf numFmtId="164" fontId="6" fillId="14" borderId="1" xfId="2" applyFont="1" applyFill="1" applyBorder="1" applyAlignment="1">
      <alignment horizontal="right"/>
    </xf>
    <xf numFmtId="49" fontId="6" fillId="14" borderId="1" xfId="5" applyNumberFormat="1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center" wrapText="1"/>
    </xf>
    <xf numFmtId="0" fontId="9" fillId="14" borderId="5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center"/>
    </xf>
    <xf numFmtId="0" fontId="9" fillId="14" borderId="1" xfId="0" applyFont="1" applyFill="1" applyBorder="1"/>
    <xf numFmtId="0" fontId="0" fillId="14" borderId="1" xfId="0" applyFill="1" applyBorder="1"/>
    <xf numFmtId="0" fontId="6" fillId="14" borderId="1" xfId="5" applyFont="1" applyFill="1" applyBorder="1"/>
    <xf numFmtId="0" fontId="9" fillId="14" borderId="5" xfId="0" applyFont="1" applyFill="1" applyBorder="1"/>
    <xf numFmtId="49" fontId="6" fillId="14" borderId="1" xfId="0" applyNumberFormat="1" applyFont="1" applyFill="1" applyBorder="1"/>
    <xf numFmtId="0" fontId="6" fillId="14" borderId="5" xfId="5" applyFont="1" applyFill="1" applyBorder="1"/>
    <xf numFmtId="0" fontId="6" fillId="10" borderId="1" xfId="0" applyFont="1" applyFill="1" applyBorder="1"/>
    <xf numFmtId="0" fontId="6" fillId="10" borderId="4" xfId="0" applyFont="1" applyFill="1" applyBorder="1"/>
    <xf numFmtId="0" fontId="9" fillId="10" borderId="5" xfId="0" applyFont="1" applyFill="1" applyBorder="1"/>
    <xf numFmtId="0" fontId="6" fillId="10" borderId="1" xfId="6" applyFont="1" applyFill="1" applyBorder="1"/>
    <xf numFmtId="164" fontId="6" fillId="15" borderId="1" xfId="2" applyFont="1" applyFill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3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2" fillId="0" borderId="2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8" fillId="7" borderId="0" xfId="2" applyFont="1" applyFill="1" applyBorder="1" applyAlignment="1">
      <alignment horizontal="left"/>
    </xf>
    <xf numFmtId="0" fontId="19" fillId="3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/>
    </xf>
  </cellXfs>
  <cellStyles count="8">
    <cellStyle name="Excel Built-in Comma" xfId="4"/>
    <cellStyle name="Excel Built-in Normal" xfId="3"/>
    <cellStyle name="Moeda" xfId="1" builtinId="4"/>
    <cellStyle name="Normal" xfId="0" builtinId="0"/>
    <cellStyle name="Normal 2" xfId="6"/>
    <cellStyle name="Normal 3" xfId="5"/>
    <cellStyle name="Vírgula" xfId="2" builtinId="3"/>
    <cellStyle name="Vírgula 2" xfId="7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opLeftCell="A10" zoomScale="70" zoomScaleNormal="70" zoomScaleSheetLayoutView="61" workbookViewId="0">
      <selection activeCell="F65" sqref="F65"/>
    </sheetView>
  </sheetViews>
  <sheetFormatPr defaultRowHeight="15.75" x14ac:dyDescent="0.25"/>
  <cols>
    <col min="1" max="1" width="26.3984375" customWidth="1"/>
    <col min="2" max="2" width="5.69921875" style="4" customWidth="1"/>
    <col min="3" max="3" width="34.19921875" style="1" customWidth="1"/>
    <col min="4" max="4" width="10.296875" style="1" customWidth="1"/>
    <col min="5" max="5" width="11.796875" style="1" customWidth="1"/>
    <col min="6" max="6" width="11.09765625" style="1" customWidth="1"/>
    <col min="7" max="7" width="11.59765625" style="1" customWidth="1"/>
    <col min="8" max="8" width="26.296875" style="1" customWidth="1"/>
    <col min="9" max="9" width="9.59765625" customWidth="1"/>
    <col min="10" max="10" width="29.3984375" customWidth="1"/>
  </cols>
  <sheetData>
    <row r="1" spans="1:10" x14ac:dyDescent="0.25">
      <c r="F1" s="2"/>
    </row>
    <row r="3" spans="1:10" ht="15.75" customHeight="1" x14ac:dyDescent="0.25">
      <c r="B3" s="257" t="s">
        <v>39</v>
      </c>
      <c r="C3" s="257"/>
      <c r="D3" s="257"/>
      <c r="E3" s="257"/>
      <c r="F3" s="257"/>
      <c r="G3" s="257"/>
      <c r="H3" s="257"/>
    </row>
    <row r="4" spans="1:10" ht="27" customHeight="1" x14ac:dyDescent="0.25">
      <c r="B4" s="257"/>
      <c r="C4" s="257"/>
      <c r="D4" s="257"/>
      <c r="E4" s="257"/>
      <c r="F4" s="257"/>
      <c r="G4" s="257"/>
      <c r="H4" s="257"/>
    </row>
    <row r="5" spans="1:10" s="3" customFormat="1" ht="51.75" customHeight="1" x14ac:dyDescent="0.25">
      <c r="B5" s="22" t="s">
        <v>5</v>
      </c>
      <c r="C5" s="22" t="s">
        <v>23</v>
      </c>
      <c r="D5" s="23" t="s">
        <v>43</v>
      </c>
      <c r="E5" s="23" t="s">
        <v>27</v>
      </c>
      <c r="F5" s="23" t="s">
        <v>47</v>
      </c>
      <c r="G5" s="23" t="s">
        <v>38</v>
      </c>
      <c r="H5" s="22" t="s">
        <v>48</v>
      </c>
      <c r="I5" s="47" t="s">
        <v>50</v>
      </c>
      <c r="J5" s="24"/>
    </row>
    <row r="6" spans="1:10" ht="18" x14ac:dyDescent="0.25">
      <c r="A6" s="176"/>
      <c r="B6" s="25">
        <v>1</v>
      </c>
      <c r="C6" s="176" t="s">
        <v>52</v>
      </c>
      <c r="D6" s="26"/>
      <c r="E6" s="26"/>
      <c r="F6" s="26"/>
      <c r="G6" s="20">
        <f t="shared" ref="G6:G23" si="0">SUM(D6:F6)</f>
        <v>0</v>
      </c>
      <c r="H6" s="7"/>
      <c r="I6" s="48"/>
      <c r="J6" s="63"/>
    </row>
    <row r="7" spans="1:10" ht="18" x14ac:dyDescent="0.25">
      <c r="A7" s="129"/>
      <c r="B7" s="25">
        <v>2</v>
      </c>
      <c r="C7" s="129" t="s">
        <v>15</v>
      </c>
      <c r="D7" s="26"/>
      <c r="E7" s="26"/>
      <c r="F7" s="26">
        <v>23.5</v>
      </c>
      <c r="G7" s="20">
        <f t="shared" si="0"/>
        <v>23.5</v>
      </c>
      <c r="H7" s="7" t="s">
        <v>87</v>
      </c>
      <c r="I7" s="48"/>
      <c r="J7" s="5"/>
    </row>
    <row r="8" spans="1:10" ht="18" x14ac:dyDescent="0.25">
      <c r="A8" s="129"/>
      <c r="B8" s="25">
        <v>3</v>
      </c>
      <c r="C8" s="129" t="s">
        <v>16</v>
      </c>
      <c r="D8" s="37"/>
      <c r="E8" s="26"/>
      <c r="F8" s="28"/>
      <c r="G8" s="20">
        <f t="shared" si="0"/>
        <v>0</v>
      </c>
      <c r="H8" s="7"/>
      <c r="I8" s="48"/>
      <c r="J8" s="139"/>
    </row>
    <row r="9" spans="1:10" ht="18" x14ac:dyDescent="0.25">
      <c r="A9" s="129"/>
      <c r="B9" s="25">
        <v>4</v>
      </c>
      <c r="C9" s="129" t="s">
        <v>76</v>
      </c>
      <c r="D9" s="26"/>
      <c r="E9" s="27"/>
      <c r="F9" s="26"/>
      <c r="G9" s="20">
        <f t="shared" si="0"/>
        <v>0</v>
      </c>
      <c r="H9" s="7"/>
      <c r="I9" s="50"/>
      <c r="J9" s="129"/>
    </row>
    <row r="10" spans="1:10" ht="18" x14ac:dyDescent="0.25">
      <c r="A10" s="128"/>
      <c r="B10" s="25">
        <v>5</v>
      </c>
      <c r="C10" s="128" t="s">
        <v>70</v>
      </c>
      <c r="D10" s="26"/>
      <c r="E10" s="27"/>
      <c r="F10" s="26"/>
      <c r="G10" s="20">
        <f t="shared" si="0"/>
        <v>0</v>
      </c>
      <c r="H10" s="7"/>
      <c r="I10" s="49"/>
      <c r="J10" s="157"/>
    </row>
    <row r="11" spans="1:10" ht="18" x14ac:dyDescent="0.25">
      <c r="A11" s="129"/>
      <c r="B11" s="25">
        <v>6</v>
      </c>
      <c r="C11" s="129" t="s">
        <v>22</v>
      </c>
      <c r="D11" s="29"/>
      <c r="E11" s="30">
        <v>0</v>
      </c>
      <c r="F11" s="30"/>
      <c r="G11" s="20">
        <f t="shared" si="0"/>
        <v>0</v>
      </c>
      <c r="H11" s="7"/>
      <c r="I11" s="48"/>
      <c r="J11" s="129"/>
    </row>
    <row r="12" spans="1:10" ht="18" x14ac:dyDescent="0.25">
      <c r="A12" s="129"/>
      <c r="B12" s="25">
        <v>7</v>
      </c>
      <c r="C12" s="129" t="s">
        <v>26</v>
      </c>
      <c r="D12" s="26"/>
      <c r="E12" s="26"/>
      <c r="F12" s="26"/>
      <c r="G12" s="20">
        <f t="shared" si="0"/>
        <v>0</v>
      </c>
      <c r="H12" s="41"/>
      <c r="I12" s="48"/>
      <c r="J12" s="5"/>
    </row>
    <row r="13" spans="1:10" ht="18" x14ac:dyDescent="0.25">
      <c r="A13" s="129"/>
      <c r="B13" s="25">
        <v>8</v>
      </c>
      <c r="C13" s="129" t="s">
        <v>67</v>
      </c>
      <c r="D13" s="26"/>
      <c r="E13" s="26"/>
      <c r="F13" s="26"/>
      <c r="G13" s="20">
        <f t="shared" si="0"/>
        <v>0</v>
      </c>
      <c r="H13" s="41"/>
      <c r="I13" s="48"/>
      <c r="J13" s="201"/>
    </row>
    <row r="14" spans="1:10" ht="18" x14ac:dyDescent="0.25">
      <c r="A14" s="129"/>
      <c r="B14" s="25">
        <v>9</v>
      </c>
      <c r="C14" s="129" t="s">
        <v>29</v>
      </c>
      <c r="D14" s="26"/>
      <c r="E14" s="27">
        <v>209.5</v>
      </c>
      <c r="F14" s="133">
        <v>660.43</v>
      </c>
      <c r="G14" s="20">
        <f t="shared" si="0"/>
        <v>869.93</v>
      </c>
      <c r="H14" s="91" t="s">
        <v>92</v>
      </c>
      <c r="I14" s="48"/>
      <c r="J14" s="201" t="s">
        <v>74</v>
      </c>
    </row>
    <row r="15" spans="1:10" ht="18" x14ac:dyDescent="0.25">
      <c r="A15" s="129"/>
      <c r="B15" s="25">
        <v>10</v>
      </c>
      <c r="C15" s="129" t="s">
        <v>49</v>
      </c>
      <c r="D15" s="26"/>
      <c r="E15" s="27"/>
      <c r="F15" s="26"/>
      <c r="G15" s="20">
        <f t="shared" si="0"/>
        <v>0</v>
      </c>
      <c r="H15" s="41"/>
      <c r="I15" s="48"/>
      <c r="J15" s="157"/>
    </row>
    <row r="16" spans="1:10" ht="18" x14ac:dyDescent="0.25">
      <c r="A16" s="129"/>
      <c r="B16" s="25">
        <v>11</v>
      </c>
      <c r="C16" s="129" t="s">
        <v>42</v>
      </c>
      <c r="D16" s="37"/>
      <c r="E16" s="26"/>
      <c r="F16" s="26"/>
      <c r="G16" s="20">
        <f t="shared" si="0"/>
        <v>0</v>
      </c>
      <c r="H16" s="41"/>
      <c r="I16" s="49"/>
      <c r="J16" s="129"/>
    </row>
    <row r="17" spans="1:10" ht="18" x14ac:dyDescent="0.25">
      <c r="A17" s="129"/>
      <c r="B17" s="25">
        <v>12</v>
      </c>
      <c r="C17" s="129" t="s">
        <v>44</v>
      </c>
      <c r="D17" s="30"/>
      <c r="E17" s="29"/>
      <c r="F17" s="35"/>
      <c r="G17" s="20">
        <f t="shared" si="0"/>
        <v>0</v>
      </c>
      <c r="H17" s="7"/>
      <c r="I17" s="48"/>
      <c r="J17" s="5"/>
    </row>
    <row r="18" spans="1:10" ht="18" x14ac:dyDescent="0.25">
      <c r="A18" s="129"/>
      <c r="B18" s="25">
        <v>13</v>
      </c>
      <c r="C18" s="129" t="s">
        <v>68</v>
      </c>
      <c r="D18" s="26"/>
      <c r="E18" s="26"/>
      <c r="F18" s="26">
        <v>33.5</v>
      </c>
      <c r="G18" s="20">
        <f t="shared" si="0"/>
        <v>33.5</v>
      </c>
      <c r="H18" s="7" t="s">
        <v>87</v>
      </c>
      <c r="I18" s="50"/>
      <c r="J18" s="144"/>
    </row>
    <row r="19" spans="1:10" ht="15.75" customHeight="1" x14ac:dyDescent="0.25">
      <c r="A19" s="129"/>
      <c r="B19" s="25">
        <v>14</v>
      </c>
      <c r="C19" s="129" t="s">
        <v>77</v>
      </c>
      <c r="D19" s="26"/>
      <c r="E19" s="38"/>
      <c r="F19" s="26"/>
      <c r="G19" s="20">
        <f t="shared" si="0"/>
        <v>0</v>
      </c>
      <c r="H19" s="41"/>
      <c r="I19" s="49"/>
      <c r="J19" s="7"/>
    </row>
    <row r="20" spans="1:10" ht="18" x14ac:dyDescent="0.25">
      <c r="A20" s="129"/>
      <c r="B20" s="25">
        <v>15</v>
      </c>
      <c r="C20" s="128" t="s">
        <v>62</v>
      </c>
      <c r="D20" s="26"/>
      <c r="E20" s="26"/>
      <c r="F20" s="26"/>
      <c r="G20" s="20">
        <f t="shared" si="0"/>
        <v>0</v>
      </c>
      <c r="H20" s="41"/>
      <c r="I20" s="10"/>
      <c r="J20" s="63"/>
    </row>
    <row r="21" spans="1:10" ht="18" x14ac:dyDescent="0.25">
      <c r="A21" s="212"/>
      <c r="B21" s="25">
        <v>16</v>
      </c>
      <c r="C21" s="215" t="s">
        <v>59</v>
      </c>
      <c r="D21" s="26"/>
      <c r="E21" s="223"/>
      <c r="F21" s="26"/>
      <c r="G21" s="20">
        <f t="shared" si="0"/>
        <v>0</v>
      </c>
      <c r="H21" s="7"/>
      <c r="I21" s="50"/>
      <c r="J21" s="163"/>
    </row>
    <row r="22" spans="1:10" ht="18" x14ac:dyDescent="0.25">
      <c r="A22" s="189"/>
      <c r="B22" s="25">
        <v>17</v>
      </c>
      <c r="C22" s="129" t="s">
        <v>73</v>
      </c>
      <c r="D22" s="26"/>
      <c r="E22" s="224"/>
      <c r="F22" s="26">
        <v>11.5</v>
      </c>
      <c r="G22" s="20">
        <f t="shared" si="0"/>
        <v>11.5</v>
      </c>
      <c r="H22" s="41" t="s">
        <v>87</v>
      </c>
      <c r="I22" s="48"/>
      <c r="J22" s="199"/>
    </row>
    <row r="23" spans="1:10" ht="18" x14ac:dyDescent="0.25">
      <c r="A23" s="204"/>
      <c r="B23" s="25">
        <v>18</v>
      </c>
      <c r="C23" s="128"/>
      <c r="D23" s="26"/>
      <c r="E23" s="26"/>
      <c r="F23" s="26"/>
      <c r="G23" s="20">
        <f t="shared" si="0"/>
        <v>0</v>
      </c>
      <c r="H23" s="41"/>
      <c r="I23" s="50"/>
      <c r="J23" s="211"/>
    </row>
    <row r="24" spans="1:10" ht="18" x14ac:dyDescent="0.25">
      <c r="B24" s="25">
        <v>19</v>
      </c>
      <c r="C24" s="139"/>
      <c r="D24" s="26"/>
      <c r="E24" s="26"/>
      <c r="F24" s="26"/>
      <c r="G24" s="20">
        <f t="shared" ref="G24" si="1">SUM(D24:F24)</f>
        <v>0</v>
      </c>
      <c r="H24" s="45"/>
      <c r="I24" s="50"/>
      <c r="J24" s="199"/>
    </row>
    <row r="25" spans="1:10" x14ac:dyDescent="0.25">
      <c r="B25" s="252" t="s">
        <v>24</v>
      </c>
      <c r="C25" s="253"/>
      <c r="D25" s="32">
        <f>SUM(D6:D20)</f>
        <v>0</v>
      </c>
      <c r="E25" s="32">
        <f>SUM(E6:E20)</f>
        <v>209.5</v>
      </c>
      <c r="F25" s="33">
        <f>SUM(F6:F20)</f>
        <v>717.43</v>
      </c>
      <c r="G25" s="20">
        <f>SUM(G6:G20)</f>
        <v>926.93</v>
      </c>
      <c r="H25" s="7"/>
      <c r="I25" s="50"/>
      <c r="J25" s="8"/>
    </row>
    <row r="26" spans="1:10" ht="15.75" customHeight="1" x14ac:dyDescent="0.25">
      <c r="B26" s="257" t="s">
        <v>40</v>
      </c>
      <c r="C26" s="257"/>
      <c r="D26" s="257"/>
      <c r="E26" s="257"/>
      <c r="F26" s="257"/>
      <c r="G26" s="257"/>
      <c r="H26" s="257"/>
      <c r="I26" s="54">
        <f>SUM(I6:I25)</f>
        <v>0</v>
      </c>
    </row>
    <row r="27" spans="1:10" ht="15.75" customHeight="1" x14ac:dyDescent="0.25">
      <c r="B27" s="257"/>
      <c r="C27" s="257"/>
      <c r="D27" s="257"/>
      <c r="E27" s="257"/>
      <c r="F27" s="257"/>
      <c r="G27" s="257"/>
      <c r="H27" s="257"/>
    </row>
    <row r="28" spans="1:10" ht="30.75" customHeight="1" x14ac:dyDescent="0.25">
      <c r="B28" s="25" t="s">
        <v>5</v>
      </c>
      <c r="C28" s="22" t="s">
        <v>23</v>
      </c>
      <c r="D28" s="23" t="s">
        <v>43</v>
      </c>
      <c r="E28" s="23" t="s">
        <v>27</v>
      </c>
      <c r="F28" s="23" t="s">
        <v>47</v>
      </c>
      <c r="G28" s="23" t="s">
        <v>38</v>
      </c>
      <c r="H28" s="22" t="s">
        <v>48</v>
      </c>
      <c r="I28" s="51" t="s">
        <v>50</v>
      </c>
      <c r="J28" s="8"/>
    </row>
    <row r="29" spans="1:10" ht="18" x14ac:dyDescent="0.25">
      <c r="B29" s="25">
        <v>1</v>
      </c>
      <c r="C29" s="213" t="s">
        <v>66</v>
      </c>
      <c r="D29" s="11"/>
      <c r="E29" s="26"/>
      <c r="F29" s="26">
        <v>30</v>
      </c>
      <c r="G29" s="43">
        <f t="shared" ref="G29:G39" si="2">SUM(D29:F29)</f>
        <v>30</v>
      </c>
      <c r="H29" s="7"/>
      <c r="I29" s="10"/>
      <c r="J29" s="152"/>
    </row>
    <row r="30" spans="1:10" ht="18" x14ac:dyDescent="0.25">
      <c r="B30" s="25">
        <v>2</v>
      </c>
      <c r="C30" s="213" t="s">
        <v>65</v>
      </c>
      <c r="D30" s="10"/>
      <c r="E30" s="67"/>
      <c r="F30" s="29"/>
      <c r="G30" s="43">
        <f t="shared" si="2"/>
        <v>0</v>
      </c>
      <c r="H30" s="7"/>
      <c r="I30" s="10"/>
      <c r="J30" s="152"/>
    </row>
    <row r="31" spans="1:10" ht="18" x14ac:dyDescent="0.25">
      <c r="B31" s="25">
        <v>3</v>
      </c>
      <c r="C31" s="189" t="s">
        <v>75</v>
      </c>
      <c r="D31" s="10"/>
      <c r="E31" s="67"/>
      <c r="F31" s="29"/>
      <c r="G31" s="43">
        <f t="shared" si="2"/>
        <v>0</v>
      </c>
      <c r="H31" s="7"/>
      <c r="I31" s="10"/>
      <c r="J31" s="5"/>
    </row>
    <row r="32" spans="1:10" ht="18" x14ac:dyDescent="0.25">
      <c r="B32" s="25">
        <v>4</v>
      </c>
      <c r="C32" s="129" t="s">
        <v>21</v>
      </c>
      <c r="D32" s="10"/>
      <c r="E32" s="29"/>
      <c r="F32" s="39"/>
      <c r="G32" s="43">
        <f t="shared" si="2"/>
        <v>0</v>
      </c>
      <c r="H32" s="7"/>
      <c r="I32" s="10"/>
      <c r="J32" s="139"/>
    </row>
    <row r="33" spans="1:10" ht="18" x14ac:dyDescent="0.25">
      <c r="B33" s="25">
        <v>5</v>
      </c>
      <c r="C33" s="226" t="s">
        <v>25</v>
      </c>
      <c r="D33" s="10"/>
      <c r="E33" s="29"/>
      <c r="F33" s="39"/>
      <c r="G33" s="43">
        <f t="shared" si="2"/>
        <v>0</v>
      </c>
      <c r="H33" s="7"/>
      <c r="I33" s="10"/>
      <c r="J33" s="89"/>
    </row>
    <row r="34" spans="1:10" ht="18" x14ac:dyDescent="0.25">
      <c r="B34" s="25">
        <v>6</v>
      </c>
      <c r="C34" s="214" t="s">
        <v>53</v>
      </c>
      <c r="D34" s="10"/>
      <c r="E34" s="29"/>
      <c r="F34" s="39">
        <v>30</v>
      </c>
      <c r="G34" s="43">
        <f t="shared" si="2"/>
        <v>30</v>
      </c>
      <c r="H34" s="7"/>
      <c r="I34" s="10"/>
      <c r="J34" s="61"/>
    </row>
    <row r="35" spans="1:10" ht="18" x14ac:dyDescent="0.25">
      <c r="B35" s="25">
        <v>7</v>
      </c>
      <c r="C35" s="215" t="s">
        <v>61</v>
      </c>
      <c r="D35" s="10"/>
      <c r="E35" s="29"/>
      <c r="F35" s="39">
        <v>365.08</v>
      </c>
      <c r="G35" s="43">
        <f t="shared" si="2"/>
        <v>365.08</v>
      </c>
      <c r="H35" s="7" t="s">
        <v>95</v>
      </c>
      <c r="I35" s="10"/>
      <c r="J35" s="147"/>
    </row>
    <row r="36" spans="1:10" ht="18" x14ac:dyDescent="0.25">
      <c r="B36" s="25">
        <v>8</v>
      </c>
      <c r="C36" s="129" t="s">
        <v>14</v>
      </c>
      <c r="D36" s="10"/>
      <c r="E36" s="29"/>
      <c r="F36" s="39">
        <v>43.5</v>
      </c>
      <c r="G36" s="43">
        <f t="shared" si="2"/>
        <v>43.5</v>
      </c>
      <c r="H36" s="7" t="s">
        <v>87</v>
      </c>
      <c r="I36" s="52"/>
      <c r="J36" s="5"/>
    </row>
    <row r="37" spans="1:10" ht="18" x14ac:dyDescent="0.25">
      <c r="B37" s="25">
        <v>9</v>
      </c>
      <c r="C37" s="225" t="s">
        <v>54</v>
      </c>
      <c r="D37" s="10">
        <v>1099.96</v>
      </c>
      <c r="E37" s="29"/>
      <c r="F37" s="39">
        <v>164.9</v>
      </c>
      <c r="G37" s="43">
        <f t="shared" si="2"/>
        <v>1264.8600000000001</v>
      </c>
      <c r="H37" s="7" t="s">
        <v>94</v>
      </c>
      <c r="I37" s="10"/>
      <c r="J37" s="135"/>
    </row>
    <row r="38" spans="1:10" ht="18" x14ac:dyDescent="0.25">
      <c r="B38" s="25">
        <v>10</v>
      </c>
      <c r="C38" s="152"/>
      <c r="D38" s="29"/>
      <c r="E38" s="31"/>
      <c r="F38" s="39"/>
      <c r="G38" s="43">
        <f t="shared" si="2"/>
        <v>0</v>
      </c>
      <c r="H38" s="41"/>
      <c r="I38" s="10"/>
      <c r="J38" s="175"/>
    </row>
    <row r="39" spans="1:10" ht="18" x14ac:dyDescent="0.25">
      <c r="B39" s="96">
        <v>11</v>
      </c>
      <c r="C39" s="156"/>
      <c r="D39" s="10"/>
      <c r="E39" s="29"/>
      <c r="F39" s="39"/>
      <c r="G39" s="43">
        <f t="shared" si="2"/>
        <v>0</v>
      </c>
      <c r="H39" s="7"/>
      <c r="I39" s="10"/>
      <c r="J39" s="8"/>
    </row>
    <row r="40" spans="1:10" ht="17.25" customHeight="1" x14ac:dyDescent="0.25">
      <c r="B40" s="255" t="s">
        <v>24</v>
      </c>
      <c r="C40" s="256"/>
      <c r="D40" s="44">
        <f>SUM(D29:D33)</f>
        <v>0</v>
      </c>
      <c r="E40" s="44">
        <f>SUM(E29:E33)</f>
        <v>0</v>
      </c>
      <c r="F40" s="44">
        <f>SUM(F29:F33)</f>
        <v>30</v>
      </c>
      <c r="G40" s="44">
        <f>SUM(G29:G34)</f>
        <v>60</v>
      </c>
      <c r="H40" s="7"/>
      <c r="I40" s="53">
        <f>SUM(I29:I33)</f>
        <v>0</v>
      </c>
      <c r="J40" s="8"/>
    </row>
    <row r="41" spans="1:10" ht="38.25" customHeight="1" x14ac:dyDescent="0.25">
      <c r="B41" s="258" t="s">
        <v>41</v>
      </c>
      <c r="C41" s="258"/>
      <c r="D41" s="258"/>
      <c r="E41" s="258"/>
      <c r="F41" s="258"/>
      <c r="G41" s="258"/>
      <c r="H41" s="258"/>
      <c r="I41" s="55"/>
    </row>
    <row r="42" spans="1:10" ht="47.25" x14ac:dyDescent="0.25">
      <c r="B42" s="22" t="s">
        <v>5</v>
      </c>
      <c r="C42" s="22" t="s">
        <v>46</v>
      </c>
      <c r="D42" s="23" t="s">
        <v>43</v>
      </c>
      <c r="E42" s="23" t="s">
        <v>27</v>
      </c>
      <c r="F42" s="23" t="s">
        <v>47</v>
      </c>
      <c r="G42" s="23" t="s">
        <v>38</v>
      </c>
      <c r="H42" s="22" t="s">
        <v>48</v>
      </c>
      <c r="I42" s="51" t="s">
        <v>50</v>
      </c>
      <c r="J42" s="8"/>
    </row>
    <row r="43" spans="1:10" ht="18" x14ac:dyDescent="0.25">
      <c r="A43" s="128"/>
      <c r="B43" s="25">
        <v>1</v>
      </c>
      <c r="C43" s="128" t="s">
        <v>45</v>
      </c>
      <c r="D43" s="58">
        <v>519.20000000000005</v>
      </c>
      <c r="E43" s="29">
        <v>1068</v>
      </c>
      <c r="F43" s="9"/>
      <c r="G43" s="20">
        <f t="shared" ref="G43:G50" si="3">SUM(D43:F43)</f>
        <v>1587.2</v>
      </c>
      <c r="H43" s="41" t="s">
        <v>88</v>
      </c>
      <c r="I43" s="52"/>
      <c r="J43" s="8"/>
    </row>
    <row r="44" spans="1:10" ht="18" x14ac:dyDescent="0.25">
      <c r="A44" s="165"/>
      <c r="B44" s="25">
        <v>2</v>
      </c>
      <c r="C44" s="165" t="s">
        <v>22</v>
      </c>
      <c r="D44" s="58"/>
      <c r="E44" s="29"/>
      <c r="F44" s="9"/>
      <c r="G44" s="20">
        <f t="shared" si="3"/>
        <v>0</v>
      </c>
      <c r="H44" s="41"/>
      <c r="I44" s="52"/>
      <c r="J44" s="8">
        <v>230.1</v>
      </c>
    </row>
    <row r="45" spans="1:10" ht="18" x14ac:dyDescent="0.25">
      <c r="A45" s="128"/>
      <c r="B45" s="25">
        <v>3</v>
      </c>
      <c r="C45" s="127" t="s">
        <v>81</v>
      </c>
      <c r="D45" s="30"/>
      <c r="E45" s="29"/>
      <c r="F45" s="35"/>
      <c r="G45" s="20">
        <f t="shared" si="3"/>
        <v>0</v>
      </c>
      <c r="H45" s="41" t="s">
        <v>82</v>
      </c>
      <c r="I45" s="10"/>
      <c r="J45" s="21">
        <v>46.58</v>
      </c>
    </row>
    <row r="46" spans="1:10" ht="18" x14ac:dyDescent="0.25">
      <c r="A46" s="144"/>
      <c r="B46" s="25">
        <v>4</v>
      </c>
      <c r="C46" s="128" t="s">
        <v>55</v>
      </c>
      <c r="D46" s="30"/>
      <c r="E46" s="31"/>
      <c r="F46" s="36"/>
      <c r="G46" s="20">
        <f t="shared" si="3"/>
        <v>0</v>
      </c>
      <c r="H46" s="41"/>
      <c r="I46" s="56"/>
      <c r="J46" s="21">
        <v>47.28</v>
      </c>
    </row>
    <row r="47" spans="1:10" ht="18" x14ac:dyDescent="0.25">
      <c r="A47" s="161"/>
      <c r="B47" s="25">
        <v>5</v>
      </c>
      <c r="C47" s="128" t="s">
        <v>44</v>
      </c>
      <c r="D47" s="30">
        <v>30.9</v>
      </c>
      <c r="E47" s="29">
        <v>700</v>
      </c>
      <c r="F47" s="35">
        <v>250</v>
      </c>
      <c r="G47" s="20">
        <f t="shared" si="3"/>
        <v>980.9</v>
      </c>
      <c r="H47" s="41" t="s">
        <v>86</v>
      </c>
      <c r="I47" s="10"/>
      <c r="J47" s="8">
        <v>776</v>
      </c>
    </row>
    <row r="48" spans="1:10" x14ac:dyDescent="0.25">
      <c r="B48" s="25">
        <v>6</v>
      </c>
      <c r="C48" s="216" t="s">
        <v>71</v>
      </c>
      <c r="D48" s="30"/>
      <c r="E48" s="31"/>
      <c r="F48" s="35"/>
      <c r="G48" s="20">
        <f t="shared" si="3"/>
        <v>0</v>
      </c>
      <c r="H48" s="41"/>
      <c r="I48" s="10"/>
      <c r="J48" s="8"/>
    </row>
    <row r="49" spans="2:10" ht="18" x14ac:dyDescent="0.25">
      <c r="B49" s="25">
        <v>7</v>
      </c>
      <c r="C49" s="144" t="s">
        <v>80</v>
      </c>
      <c r="D49" s="30">
        <v>110.01</v>
      </c>
      <c r="E49" s="29"/>
      <c r="F49" s="35">
        <v>7</v>
      </c>
      <c r="G49" s="20">
        <f t="shared" si="3"/>
        <v>117.01</v>
      </c>
      <c r="H49" s="41" t="s">
        <v>93</v>
      </c>
      <c r="I49" s="10"/>
      <c r="J49" s="8"/>
    </row>
    <row r="50" spans="2:10" ht="18" x14ac:dyDescent="0.25">
      <c r="B50" s="25">
        <v>8</v>
      </c>
      <c r="C50" s="139" t="s">
        <v>79</v>
      </c>
      <c r="D50" s="30"/>
      <c r="E50" s="31"/>
      <c r="F50" s="34"/>
      <c r="G50" s="20">
        <f t="shared" si="3"/>
        <v>0</v>
      </c>
      <c r="H50" s="41"/>
      <c r="I50" s="50"/>
      <c r="J50" s="8"/>
    </row>
    <row r="51" spans="2:10" ht="18" x14ac:dyDescent="0.25">
      <c r="B51" s="25"/>
      <c r="C51" s="139"/>
      <c r="D51" s="30"/>
      <c r="E51" s="31"/>
      <c r="F51" s="34"/>
      <c r="G51" s="20"/>
      <c r="H51" s="41"/>
      <c r="I51" s="50"/>
      <c r="J51" s="8"/>
    </row>
    <row r="52" spans="2:10" ht="18" x14ac:dyDescent="0.25">
      <c r="B52" s="25"/>
      <c r="C52" s="139"/>
      <c r="D52" s="30"/>
      <c r="E52" s="31"/>
      <c r="F52" s="34"/>
      <c r="G52" s="20"/>
      <c r="H52" s="41"/>
      <c r="I52" s="50"/>
      <c r="J52" s="8"/>
    </row>
    <row r="53" spans="2:10" x14ac:dyDescent="0.25">
      <c r="B53" s="254" t="s">
        <v>24</v>
      </c>
      <c r="C53" s="254"/>
      <c r="D53" s="34">
        <f>SUM(D43:D47)</f>
        <v>550.1</v>
      </c>
      <c r="E53" s="34">
        <f>SUM(E43:E47)</f>
        <v>1768</v>
      </c>
      <c r="F53" s="34">
        <f>SUM(F43:F47)</f>
        <v>250</v>
      </c>
      <c r="G53" s="34">
        <f>SUM(G43:G47)</f>
        <v>2568.1</v>
      </c>
      <c r="H53" s="7"/>
      <c r="I53" s="53">
        <f>SUM(I43:I47)</f>
        <v>0</v>
      </c>
      <c r="J53" s="8"/>
    </row>
    <row r="56" spans="2:10" x14ac:dyDescent="0.25">
      <c r="I56" s="57">
        <f>SUM(I26+I40+I53)</f>
        <v>0</v>
      </c>
    </row>
    <row r="62" spans="2:10" x14ac:dyDescent="0.25">
      <c r="H62" s="1">
        <v>57.9</v>
      </c>
    </row>
    <row r="63" spans="2:10" x14ac:dyDescent="0.25">
      <c r="H63" s="1">
        <v>52.11</v>
      </c>
    </row>
  </sheetData>
  <sortState ref="C43:I50">
    <sortCondition ref="C43"/>
  </sortState>
  <mergeCells count="6">
    <mergeCell ref="B25:C25"/>
    <mergeCell ref="B53:C53"/>
    <mergeCell ref="B40:C40"/>
    <mergeCell ref="B26:H27"/>
    <mergeCell ref="B3:H4"/>
    <mergeCell ref="B41:H41"/>
  </mergeCells>
  <printOptions verticalCentered="1"/>
  <pageMargins left="0.70866141732283472" right="0.51181102362204722" top="0" bottom="0.15748031496062992" header="0.31496062992125984" footer="0.31496062992125984"/>
  <pageSetup paperSize="9" scale="49" orientation="landscape" verticalDpi="599" r:id="rId1"/>
  <rowBreaks count="1" manualBreakCount="1">
    <brk id="26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ES37"/>
  <sheetViews>
    <sheetView tabSelected="1" zoomScale="55" zoomScaleNormal="55" zoomScaleSheetLayoutView="45" zoomScalePageLayoutView="51" workbookViewId="0">
      <selection activeCell="M37" sqref="M37"/>
    </sheetView>
  </sheetViews>
  <sheetFormatPr defaultColWidth="11.19921875" defaultRowHeight="18" x14ac:dyDescent="0.25"/>
  <cols>
    <col min="1" max="1" width="6" style="93" customWidth="1"/>
    <col min="2" max="2" width="4.09765625" style="93" bestFit="1" customWidth="1"/>
    <col min="3" max="3" width="34.09765625" style="93" customWidth="1"/>
    <col min="4" max="4" width="6.59765625" style="93" customWidth="1"/>
    <col min="5" max="5" width="14.3984375" style="101" customWidth="1"/>
    <col min="6" max="6" width="18.796875" style="93" customWidth="1"/>
    <col min="7" max="7" width="18.59765625" style="93" customWidth="1"/>
    <col min="8" max="8" width="8.5" style="93" customWidth="1"/>
    <col min="9" max="9" width="10" style="93" customWidth="1"/>
    <col min="10" max="10" width="13.796875" style="93" customWidth="1"/>
    <col min="11" max="11" width="9.796875" style="93" customWidth="1"/>
    <col min="12" max="12" width="14.5" style="93" customWidth="1"/>
    <col min="13" max="13" width="18.8984375" style="93" customWidth="1"/>
    <col min="14" max="14" width="13.5" style="93" customWidth="1"/>
    <col min="15" max="16" width="10.69921875" style="93" customWidth="1"/>
    <col min="17" max="17" width="10.3984375" style="93" customWidth="1"/>
    <col min="18" max="18" width="11.796875" style="93" customWidth="1"/>
    <col min="19" max="19" width="9.8984375" style="93" customWidth="1"/>
    <col min="20" max="20" width="13" style="93" bestFit="1" customWidth="1"/>
    <col min="21" max="21" width="15" style="93" customWidth="1"/>
    <col min="22" max="22" width="12.796875" style="93" customWidth="1"/>
    <col min="23" max="16384" width="11.19921875" style="93"/>
  </cols>
  <sheetData>
    <row r="3" spans="1:149" x14ac:dyDescent="0.25">
      <c r="D3" s="261"/>
      <c r="E3" s="261"/>
      <c r="F3" s="261"/>
      <c r="G3" s="261"/>
      <c r="H3" s="261"/>
      <c r="I3" s="261"/>
      <c r="J3" s="261"/>
      <c r="K3" s="261"/>
      <c r="L3" s="261"/>
      <c r="M3" s="261"/>
      <c r="N3" s="262" t="s">
        <v>89</v>
      </c>
      <c r="O3" s="262"/>
      <c r="P3" s="262"/>
      <c r="Q3" s="262"/>
      <c r="R3" s="262"/>
    </row>
    <row r="4" spans="1:149" x14ac:dyDescent="0.25">
      <c r="R4" s="102"/>
      <c r="U4" s="173"/>
      <c r="V4" s="173"/>
      <c r="W4" s="173"/>
    </row>
    <row r="5" spans="1:149" ht="24.75" customHeight="1" x14ac:dyDescent="0.25">
      <c r="B5" s="103"/>
      <c r="C5" s="103"/>
      <c r="D5" s="104"/>
      <c r="E5" s="105"/>
      <c r="F5" s="103" t="s">
        <v>1</v>
      </c>
      <c r="G5" s="103"/>
      <c r="H5" s="103"/>
      <c r="I5" s="103"/>
      <c r="J5" s="103"/>
      <c r="K5" s="103"/>
      <c r="L5" s="103"/>
      <c r="M5" s="103"/>
      <c r="N5" s="260" t="s">
        <v>2</v>
      </c>
      <c r="O5" s="260"/>
      <c r="P5" s="260"/>
      <c r="Q5" s="260"/>
      <c r="R5" s="260"/>
      <c r="S5" s="99" t="s">
        <v>3</v>
      </c>
      <c r="T5" s="190" t="s">
        <v>4</v>
      </c>
      <c r="U5" s="173"/>
      <c r="V5" s="173"/>
      <c r="W5" s="173"/>
    </row>
    <row r="6" spans="1:149" ht="38.25" customHeight="1" x14ac:dyDescent="0.25">
      <c r="A6" s="132"/>
      <c r="B6" s="103" t="s">
        <v>5</v>
      </c>
      <c r="C6" s="99" t="s">
        <v>6</v>
      </c>
      <c r="D6" s="97" t="s">
        <v>18</v>
      </c>
      <c r="E6" s="99" t="s">
        <v>17</v>
      </c>
      <c r="F6" s="98" t="s">
        <v>33</v>
      </c>
      <c r="G6" s="98" t="s">
        <v>32</v>
      </c>
      <c r="H6" s="99" t="s">
        <v>30</v>
      </c>
      <c r="I6" s="99" t="s">
        <v>7</v>
      </c>
      <c r="J6" s="98" t="s">
        <v>19</v>
      </c>
      <c r="K6" s="98" t="s">
        <v>30</v>
      </c>
      <c r="L6" s="98" t="s">
        <v>57</v>
      </c>
      <c r="M6" s="98" t="s">
        <v>31</v>
      </c>
      <c r="N6" s="99" t="s">
        <v>60</v>
      </c>
      <c r="O6" s="98" t="s">
        <v>56</v>
      </c>
      <c r="P6" s="238" t="s">
        <v>90</v>
      </c>
      <c r="Q6" s="98" t="s">
        <v>37</v>
      </c>
      <c r="R6" s="99" t="s">
        <v>10</v>
      </c>
      <c r="S6" s="99" t="s">
        <v>11</v>
      </c>
      <c r="T6" s="190" t="s">
        <v>12</v>
      </c>
      <c r="U6" s="173"/>
      <c r="V6" s="173"/>
      <c r="W6" s="173"/>
    </row>
    <row r="7" spans="1:149" s="6" customFormat="1" ht="19.5" customHeight="1" x14ac:dyDescent="0.25">
      <c r="A7" s="132"/>
      <c r="B7" s="209">
        <v>1</v>
      </c>
      <c r="C7" s="250" t="s">
        <v>52</v>
      </c>
      <c r="D7" s="177">
        <v>33679</v>
      </c>
      <c r="E7" s="178">
        <v>41135</v>
      </c>
      <c r="F7" s="179">
        <v>2917.81</v>
      </c>
      <c r="G7" s="180">
        <f t="shared" ref="G7:G26" si="0">F7-H7</f>
        <v>2431.5083333333332</v>
      </c>
      <c r="H7" s="180">
        <f t="shared" ref="H7:H26" si="1">F7/6</f>
        <v>486.30166666666668</v>
      </c>
      <c r="I7" s="181"/>
      <c r="J7" s="129">
        <v>2457.5100000000002</v>
      </c>
      <c r="K7" s="132">
        <v>460.95</v>
      </c>
      <c r="L7" s="16"/>
      <c r="M7" s="16">
        <f t="shared" ref="M7:M26" si="2">SUM(G7:L7)</f>
        <v>5836.2699999999995</v>
      </c>
      <c r="N7" s="40">
        <v>618.58000000000004</v>
      </c>
      <c r="O7" s="16">
        <v>324.61</v>
      </c>
      <c r="P7" s="16"/>
      <c r="Q7" s="14">
        <f>DESCONTOS!G6</f>
        <v>0</v>
      </c>
      <c r="R7" s="95">
        <f t="shared" ref="R7:R26" si="3">N7+O7+Q7+P7</f>
        <v>943.19</v>
      </c>
      <c r="S7" s="16"/>
      <c r="T7" s="16">
        <f t="shared" ref="T7:T24" si="4">M7-R7+S7</f>
        <v>4893.08</v>
      </c>
      <c r="U7" s="192"/>
      <c r="V7" s="193"/>
      <c r="W7" s="17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</row>
    <row r="8" spans="1:149" s="6" customFormat="1" ht="19.5" customHeight="1" x14ac:dyDescent="0.25">
      <c r="A8" s="132"/>
      <c r="B8" s="209">
        <v>2</v>
      </c>
      <c r="C8" s="247" t="s">
        <v>15</v>
      </c>
      <c r="D8" s="130">
        <v>40913</v>
      </c>
      <c r="E8" s="131">
        <v>35674</v>
      </c>
      <c r="F8" s="16">
        <v>2917.81</v>
      </c>
      <c r="G8" s="16">
        <f t="shared" si="0"/>
        <v>2431.5083333333332</v>
      </c>
      <c r="H8" s="16">
        <f t="shared" si="1"/>
        <v>486.30166666666668</v>
      </c>
      <c r="I8" s="203">
        <v>235</v>
      </c>
      <c r="J8" s="129">
        <v>2457.5100000000002</v>
      </c>
      <c r="K8" s="132">
        <v>460.95</v>
      </c>
      <c r="L8" s="251">
        <v>130</v>
      </c>
      <c r="M8" s="16">
        <f t="shared" si="2"/>
        <v>6201.2699999999995</v>
      </c>
      <c r="N8" s="40">
        <v>618.58000000000004</v>
      </c>
      <c r="O8" s="16">
        <v>324.61</v>
      </c>
      <c r="P8" s="16">
        <v>194.35</v>
      </c>
      <c r="Q8" s="14">
        <f>DESCONTOS!G7</f>
        <v>23.5</v>
      </c>
      <c r="R8" s="95">
        <f t="shared" si="3"/>
        <v>1161.04</v>
      </c>
      <c r="S8" s="16"/>
      <c r="T8" s="16">
        <f t="shared" si="4"/>
        <v>5040.2299999999996</v>
      </c>
      <c r="U8" s="192" t="s">
        <v>96</v>
      </c>
      <c r="V8" s="193"/>
      <c r="W8" s="17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  <c r="CY8" s="93"/>
      <c r="CZ8" s="93"/>
      <c r="DA8" s="93"/>
      <c r="DB8" s="93"/>
      <c r="DC8" s="93"/>
      <c r="DD8" s="93"/>
      <c r="DE8" s="93"/>
      <c r="DF8" s="93"/>
      <c r="DG8" s="93"/>
      <c r="DH8" s="93"/>
      <c r="DI8" s="93"/>
      <c r="DJ8" s="93"/>
      <c r="DK8" s="93"/>
      <c r="DL8" s="93"/>
      <c r="DM8" s="93"/>
      <c r="DN8" s="93"/>
      <c r="DO8" s="93"/>
      <c r="DP8" s="93"/>
      <c r="DQ8" s="93"/>
      <c r="DR8" s="93"/>
      <c r="DS8" s="93"/>
      <c r="DT8" s="93"/>
      <c r="DU8" s="93"/>
      <c r="DV8" s="93"/>
      <c r="DW8" s="93"/>
      <c r="DX8" s="93"/>
      <c r="DY8" s="93"/>
      <c r="DZ8" s="93"/>
      <c r="EA8" s="93"/>
      <c r="EB8" s="93"/>
      <c r="EC8" s="93"/>
      <c r="ED8" s="93"/>
      <c r="EE8" s="93"/>
      <c r="EF8" s="93"/>
      <c r="EG8" s="93"/>
      <c r="EH8" s="93"/>
      <c r="EI8" s="93"/>
      <c r="EJ8" s="93"/>
      <c r="EK8" s="93"/>
      <c r="EL8" s="93"/>
      <c r="EM8" s="93"/>
      <c r="EN8" s="93"/>
      <c r="EO8" s="93"/>
      <c r="EP8" s="93"/>
      <c r="EQ8" s="93"/>
      <c r="ER8" s="93"/>
      <c r="ES8" s="93"/>
    </row>
    <row r="9" spans="1:149" s="6" customFormat="1" ht="19.5" customHeight="1" x14ac:dyDescent="0.25">
      <c r="A9" s="132"/>
      <c r="B9" s="209">
        <v>3</v>
      </c>
      <c r="C9" s="129" t="s">
        <v>16</v>
      </c>
      <c r="D9" s="130">
        <v>41013</v>
      </c>
      <c r="E9" s="131">
        <v>31413</v>
      </c>
      <c r="F9" s="16">
        <v>2179.94</v>
      </c>
      <c r="G9" s="16">
        <f t="shared" si="0"/>
        <v>1816.6166666666668</v>
      </c>
      <c r="H9" s="16">
        <f t="shared" si="1"/>
        <v>363.32333333333332</v>
      </c>
      <c r="I9" s="16">
        <v>995.5</v>
      </c>
      <c r="J9" s="129">
        <v>0</v>
      </c>
      <c r="K9" s="222">
        <v>0</v>
      </c>
      <c r="L9" s="16"/>
      <c r="M9" s="16">
        <f t="shared" si="2"/>
        <v>3175.44</v>
      </c>
      <c r="N9" s="40"/>
      <c r="O9" s="16"/>
      <c r="P9" s="16"/>
      <c r="Q9" s="14">
        <f>DESCONTOS!G8</f>
        <v>0</v>
      </c>
      <c r="R9" s="95">
        <f t="shared" si="3"/>
        <v>0</v>
      </c>
      <c r="S9" s="13"/>
      <c r="T9" s="16">
        <f t="shared" si="4"/>
        <v>3175.44</v>
      </c>
      <c r="U9" s="194" t="s">
        <v>84</v>
      </c>
      <c r="V9" s="193"/>
      <c r="W9" s="170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  <c r="CY9" s="93"/>
      <c r="CZ9" s="93"/>
      <c r="DA9" s="93"/>
      <c r="DB9" s="93"/>
      <c r="DC9" s="93"/>
      <c r="DD9" s="93"/>
      <c r="DE9" s="93"/>
      <c r="DF9" s="93"/>
      <c r="DG9" s="93"/>
      <c r="DH9" s="93"/>
      <c r="DI9" s="93"/>
      <c r="DJ9" s="93"/>
      <c r="DK9" s="93"/>
      <c r="DL9" s="93"/>
      <c r="DM9" s="93"/>
      <c r="DN9" s="93"/>
      <c r="DO9" s="93"/>
      <c r="DP9" s="93"/>
      <c r="DQ9" s="93"/>
      <c r="DR9" s="93"/>
      <c r="DS9" s="93"/>
      <c r="DT9" s="93"/>
      <c r="DU9" s="93"/>
      <c r="DV9" s="93"/>
      <c r="DW9" s="93"/>
      <c r="DX9" s="93"/>
      <c r="DY9" s="93"/>
      <c r="DZ9" s="93"/>
      <c r="EA9" s="93"/>
      <c r="EB9" s="93"/>
      <c r="EC9" s="93"/>
      <c r="ED9" s="93"/>
      <c r="EE9" s="93"/>
      <c r="EF9" s="93"/>
      <c r="EG9" s="93"/>
      <c r="EH9" s="93"/>
      <c r="EI9" s="93"/>
      <c r="EJ9" s="93"/>
      <c r="EK9" s="93"/>
      <c r="EL9" s="93"/>
      <c r="EM9" s="93"/>
      <c r="EN9" s="93"/>
      <c r="EO9" s="93"/>
      <c r="EP9" s="93"/>
      <c r="EQ9" s="93"/>
      <c r="ER9" s="93"/>
      <c r="ES9" s="93"/>
    </row>
    <row r="10" spans="1:149" s="6" customFormat="1" ht="19.5" customHeight="1" x14ac:dyDescent="0.25">
      <c r="A10" s="132"/>
      <c r="B10" s="171">
        <v>4</v>
      </c>
      <c r="C10" s="247" t="s">
        <v>91</v>
      </c>
      <c r="D10" s="130"/>
      <c r="E10" s="188">
        <v>46169</v>
      </c>
      <c r="F10" s="236">
        <v>951.45</v>
      </c>
      <c r="G10" s="16">
        <f t="shared" si="0"/>
        <v>792.875</v>
      </c>
      <c r="H10" s="16">
        <f t="shared" si="1"/>
        <v>158.57500000000002</v>
      </c>
      <c r="I10" s="16"/>
      <c r="J10" s="16"/>
      <c r="K10" s="164"/>
      <c r="L10" s="16"/>
      <c r="M10" s="16">
        <f t="shared" si="2"/>
        <v>951.45</v>
      </c>
      <c r="N10" s="40">
        <v>27.44</v>
      </c>
      <c r="O10" s="16"/>
      <c r="P10" s="16">
        <v>73.12</v>
      </c>
      <c r="Q10" s="14"/>
      <c r="R10" s="95">
        <f t="shared" si="3"/>
        <v>100.56</v>
      </c>
      <c r="S10" s="16"/>
      <c r="T10" s="16">
        <f t="shared" si="4"/>
        <v>850.8900000000001</v>
      </c>
      <c r="U10" s="194"/>
      <c r="V10" s="193"/>
      <c r="W10" s="170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  <c r="CY10" s="93"/>
      <c r="CZ10" s="93"/>
      <c r="DA10" s="93"/>
      <c r="DB10" s="93"/>
      <c r="DC10" s="93"/>
      <c r="DD10" s="93"/>
      <c r="DE10" s="93"/>
      <c r="DF10" s="93"/>
      <c r="DG10" s="93"/>
      <c r="DH10" s="93"/>
      <c r="DI10" s="93"/>
      <c r="DJ10" s="93"/>
      <c r="DK10" s="93"/>
      <c r="DL10" s="93"/>
      <c r="DM10" s="93"/>
      <c r="DN10" s="93"/>
      <c r="DO10" s="93"/>
      <c r="DP10" s="93"/>
      <c r="DQ10" s="93"/>
      <c r="DR10" s="93"/>
      <c r="DS10" s="93"/>
      <c r="DT10" s="93"/>
      <c r="DU10" s="93"/>
      <c r="DV10" s="93"/>
      <c r="DW10" s="93"/>
      <c r="DX10" s="93"/>
      <c r="DY10" s="93"/>
      <c r="DZ10" s="93"/>
      <c r="EA10" s="93"/>
      <c r="EB10" s="93"/>
      <c r="EC10" s="93"/>
      <c r="ED10" s="93"/>
      <c r="EE10" s="93"/>
      <c r="EF10" s="93"/>
      <c r="EG10" s="93"/>
      <c r="EH10" s="93"/>
      <c r="EI10" s="93"/>
      <c r="EJ10" s="93"/>
      <c r="EK10" s="93"/>
      <c r="EL10" s="93"/>
      <c r="EM10" s="93"/>
      <c r="EN10" s="93"/>
      <c r="EO10" s="93"/>
      <c r="EP10" s="93"/>
      <c r="EQ10" s="93"/>
      <c r="ER10" s="93"/>
      <c r="ES10" s="93"/>
    </row>
    <row r="11" spans="1:149" s="6" customFormat="1" ht="20.100000000000001" customHeight="1" x14ac:dyDescent="0.25">
      <c r="A11" s="132"/>
      <c r="B11" s="209">
        <v>5</v>
      </c>
      <c r="C11" s="128"/>
      <c r="D11" s="130"/>
      <c r="E11" s="131"/>
      <c r="F11" s="16"/>
      <c r="G11" s="14">
        <f t="shared" si="0"/>
        <v>0</v>
      </c>
      <c r="H11" s="14">
        <f t="shared" si="1"/>
        <v>0</v>
      </c>
      <c r="I11" s="16">
        <v>0</v>
      </c>
      <c r="J11" s="5"/>
      <c r="K11" s="164"/>
      <c r="L11" s="16"/>
      <c r="M11" s="16">
        <f t="shared" si="2"/>
        <v>0</v>
      </c>
      <c r="N11" s="40"/>
      <c r="O11" s="16"/>
      <c r="P11" s="16"/>
      <c r="Q11" s="14">
        <f>DESCONTOS!G10</f>
        <v>0</v>
      </c>
      <c r="R11" s="95">
        <f t="shared" si="3"/>
        <v>0</v>
      </c>
      <c r="S11" s="16"/>
      <c r="T11" s="16">
        <f t="shared" si="4"/>
        <v>0</v>
      </c>
      <c r="U11" s="259"/>
      <c r="V11" s="259"/>
      <c r="W11" s="259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</row>
    <row r="12" spans="1:149" s="6" customFormat="1" ht="20.100000000000001" customHeight="1" x14ac:dyDescent="0.25">
      <c r="A12" s="132"/>
      <c r="B12" s="171">
        <v>6</v>
      </c>
      <c r="C12" s="129" t="s">
        <v>22</v>
      </c>
      <c r="D12" s="130">
        <v>41955</v>
      </c>
      <c r="E12" s="182">
        <v>43214</v>
      </c>
      <c r="F12" s="14">
        <v>2637.5</v>
      </c>
      <c r="G12" s="14">
        <f t="shared" si="0"/>
        <v>2197.9166666666665</v>
      </c>
      <c r="H12" s="14">
        <f t="shared" si="1"/>
        <v>439.58333333333331</v>
      </c>
      <c r="I12" s="14">
        <v>0</v>
      </c>
      <c r="J12" s="129">
        <v>0</v>
      </c>
      <c r="K12" s="183"/>
      <c r="L12" s="14"/>
      <c r="M12" s="16">
        <f t="shared" si="2"/>
        <v>2637.5</v>
      </c>
      <c r="N12" s="14"/>
      <c r="O12" s="14"/>
      <c r="P12" s="14"/>
      <c r="Q12" s="14">
        <f>DESCONTOS!G11</f>
        <v>0</v>
      </c>
      <c r="R12" s="95">
        <f t="shared" si="3"/>
        <v>0</v>
      </c>
      <c r="S12" s="14"/>
      <c r="T12" s="16">
        <f t="shared" si="4"/>
        <v>2637.5</v>
      </c>
      <c r="U12" s="170"/>
      <c r="V12" s="170"/>
      <c r="W12" s="170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3"/>
      <c r="EN12" s="93"/>
      <c r="EO12" s="93"/>
      <c r="EP12" s="93"/>
      <c r="EQ12" s="93"/>
      <c r="ER12" s="93"/>
      <c r="ES12" s="93"/>
    </row>
    <row r="13" spans="1:149" s="6" customFormat="1" ht="20.100000000000001" customHeight="1" x14ac:dyDescent="0.25">
      <c r="A13" s="132"/>
      <c r="B13" s="209">
        <v>7</v>
      </c>
      <c r="C13" s="247" t="s">
        <v>26</v>
      </c>
      <c r="D13" s="130">
        <v>41143</v>
      </c>
      <c r="E13" s="131">
        <v>43221</v>
      </c>
      <c r="F13" s="16">
        <v>2181</v>
      </c>
      <c r="G13" s="16">
        <f t="shared" si="0"/>
        <v>1817.5</v>
      </c>
      <c r="H13" s="16">
        <f t="shared" si="1"/>
        <v>363.5</v>
      </c>
      <c r="I13" s="16">
        <v>210.97</v>
      </c>
      <c r="J13" s="129">
        <v>1825.36</v>
      </c>
      <c r="K13" s="164"/>
      <c r="L13" s="16"/>
      <c r="M13" s="16">
        <f t="shared" si="2"/>
        <v>4217.33</v>
      </c>
      <c r="N13" s="40">
        <v>190.93</v>
      </c>
      <c r="O13" s="16"/>
      <c r="P13" s="16">
        <v>72.62</v>
      </c>
      <c r="Q13" s="14">
        <f>DESCONTOS!G12</f>
        <v>0</v>
      </c>
      <c r="R13" s="95">
        <f t="shared" si="3"/>
        <v>263.55</v>
      </c>
      <c r="S13" s="16"/>
      <c r="T13" s="16">
        <f t="shared" si="4"/>
        <v>3953.7799999999997</v>
      </c>
      <c r="U13" s="195"/>
      <c r="V13" s="195"/>
      <c r="W13" s="195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3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3"/>
      <c r="DH13" s="93"/>
      <c r="DI13" s="93"/>
      <c r="DJ13" s="93"/>
      <c r="DK13" s="93"/>
      <c r="DL13" s="93"/>
      <c r="DM13" s="93"/>
      <c r="DN13" s="93"/>
      <c r="DO13" s="93"/>
      <c r="DP13" s="93"/>
      <c r="DQ13" s="93"/>
      <c r="DR13" s="93"/>
      <c r="DS13" s="93"/>
      <c r="DT13" s="93"/>
      <c r="DU13" s="93"/>
      <c r="DV13" s="93"/>
      <c r="DW13" s="93"/>
      <c r="DX13" s="93"/>
      <c r="DY13" s="93"/>
      <c r="DZ13" s="93"/>
      <c r="EA13" s="93"/>
      <c r="EB13" s="93"/>
      <c r="EC13" s="93"/>
      <c r="ED13" s="93"/>
      <c r="EE13" s="93"/>
      <c r="EF13" s="93"/>
      <c r="EG13" s="93"/>
      <c r="EH13" s="93"/>
      <c r="EI13" s="93"/>
      <c r="EJ13" s="93"/>
      <c r="EK13" s="93"/>
      <c r="EL13" s="93"/>
      <c r="EM13" s="93"/>
      <c r="EN13" s="93"/>
      <c r="EO13" s="93"/>
      <c r="EP13" s="93"/>
      <c r="EQ13" s="93"/>
      <c r="ER13" s="93"/>
      <c r="ES13" s="93"/>
    </row>
    <row r="14" spans="1:149" s="6" customFormat="1" ht="20.100000000000001" customHeight="1" x14ac:dyDescent="0.25">
      <c r="A14" s="132"/>
      <c r="B14" s="209">
        <v>8</v>
      </c>
      <c r="C14" s="235" t="s">
        <v>67</v>
      </c>
      <c r="D14" s="177"/>
      <c r="E14" s="178">
        <v>44618</v>
      </c>
      <c r="F14" s="181">
        <v>2195.7800000000002</v>
      </c>
      <c r="G14" s="14">
        <f t="shared" si="0"/>
        <v>1829.8166666666668</v>
      </c>
      <c r="H14" s="14">
        <f t="shared" si="1"/>
        <v>365.96333333333337</v>
      </c>
      <c r="I14" s="16"/>
      <c r="J14" s="16">
        <v>2180</v>
      </c>
      <c r="K14" s="164"/>
      <c r="L14" s="251">
        <v>200</v>
      </c>
      <c r="M14" s="16">
        <f t="shared" si="2"/>
        <v>4575.7800000000007</v>
      </c>
      <c r="N14" s="40">
        <v>173.28</v>
      </c>
      <c r="O14" s="16"/>
      <c r="P14" s="16">
        <v>65.87</v>
      </c>
      <c r="Q14" s="14">
        <f>DESCONTOS!G13</f>
        <v>0</v>
      </c>
      <c r="R14" s="95">
        <f t="shared" si="3"/>
        <v>239.15</v>
      </c>
      <c r="S14" s="16"/>
      <c r="T14" s="16">
        <f t="shared" si="4"/>
        <v>4336.630000000001</v>
      </c>
      <c r="U14" s="195" t="s">
        <v>96</v>
      </c>
      <c r="V14" s="195"/>
      <c r="W14" s="195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3"/>
      <c r="BP14" s="93"/>
      <c r="BQ14" s="93"/>
      <c r="BR14" s="93"/>
      <c r="BS14" s="93"/>
      <c r="BT14" s="93"/>
      <c r="BU14" s="93"/>
      <c r="BV14" s="93"/>
      <c r="BW14" s="93"/>
      <c r="BX14" s="93"/>
      <c r="BY14" s="93"/>
      <c r="BZ14" s="93"/>
      <c r="CA14" s="93"/>
      <c r="CB14" s="93"/>
      <c r="CC14" s="93"/>
      <c r="CD14" s="93"/>
      <c r="CE14" s="93"/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  <c r="CY14" s="93"/>
      <c r="CZ14" s="93"/>
      <c r="DA14" s="93"/>
      <c r="DB14" s="93"/>
      <c r="DC14" s="93"/>
      <c r="DD14" s="93"/>
      <c r="DE14" s="93"/>
      <c r="DF14" s="93"/>
      <c r="DG14" s="93"/>
      <c r="DH14" s="93"/>
      <c r="DI14" s="93"/>
      <c r="DJ14" s="93"/>
      <c r="DK14" s="93"/>
      <c r="DL14" s="93"/>
      <c r="DM14" s="93"/>
      <c r="DN14" s="93"/>
      <c r="DO14" s="93"/>
      <c r="DP14" s="93"/>
      <c r="DQ14" s="93"/>
      <c r="DR14" s="93"/>
      <c r="DS14" s="93"/>
      <c r="DT14" s="93"/>
      <c r="DU14" s="93"/>
      <c r="DV14" s="93"/>
      <c r="DW14" s="93"/>
      <c r="DX14" s="93"/>
      <c r="DY14" s="93"/>
      <c r="DZ14" s="93"/>
      <c r="EA14" s="93"/>
      <c r="EB14" s="93"/>
      <c r="EC14" s="93"/>
      <c r="ED14" s="93"/>
      <c r="EE14" s="93"/>
      <c r="EF14" s="93"/>
      <c r="EG14" s="93"/>
      <c r="EH14" s="93"/>
      <c r="EI14" s="93"/>
      <c r="EJ14" s="93"/>
      <c r="EK14" s="93"/>
      <c r="EL14" s="93"/>
      <c r="EM14" s="93"/>
      <c r="EN14" s="93"/>
      <c r="EO14" s="93"/>
      <c r="EP14" s="93"/>
      <c r="EQ14" s="93"/>
      <c r="ER14" s="93"/>
      <c r="ES14" s="93"/>
    </row>
    <row r="15" spans="1:149" s="6" customFormat="1" ht="19.5" customHeight="1" x14ac:dyDescent="0.25">
      <c r="A15" s="132"/>
      <c r="B15" s="209">
        <v>9</v>
      </c>
      <c r="C15" s="247" t="s">
        <v>29</v>
      </c>
      <c r="D15" s="184">
        <v>42735</v>
      </c>
      <c r="E15" s="131">
        <v>42374</v>
      </c>
      <c r="F15" s="16">
        <v>2181</v>
      </c>
      <c r="G15" s="16">
        <f t="shared" si="0"/>
        <v>1817.5</v>
      </c>
      <c r="H15" s="16">
        <f t="shared" si="1"/>
        <v>363.5</v>
      </c>
      <c r="I15" s="16">
        <v>199.02</v>
      </c>
      <c r="J15" s="129">
        <v>0</v>
      </c>
      <c r="K15" s="164"/>
      <c r="L15" s="16"/>
      <c r="M15" s="16">
        <f t="shared" si="2"/>
        <v>2380.02</v>
      </c>
      <c r="N15" s="40">
        <v>189.05</v>
      </c>
      <c r="O15" s="16"/>
      <c r="P15" s="16">
        <v>72.62</v>
      </c>
      <c r="Q15" s="14">
        <f>DESCONTOS!G14</f>
        <v>869.93</v>
      </c>
      <c r="R15" s="95">
        <f t="shared" si="3"/>
        <v>1131.5999999999999</v>
      </c>
      <c r="S15" s="16"/>
      <c r="T15" s="16">
        <f t="shared" si="4"/>
        <v>1248.42</v>
      </c>
      <c r="U15" s="196"/>
      <c r="V15" s="195"/>
      <c r="W15" s="170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  <c r="EN15" s="93"/>
      <c r="EO15" s="93"/>
      <c r="EP15" s="93"/>
      <c r="EQ15" s="93"/>
      <c r="ER15" s="93"/>
      <c r="ES15" s="93"/>
    </row>
    <row r="16" spans="1:149" s="6" customFormat="1" ht="19.5" customHeight="1" x14ac:dyDescent="0.25">
      <c r="A16" s="132"/>
      <c r="B16" s="209">
        <v>10</v>
      </c>
      <c r="C16" s="235" t="s">
        <v>49</v>
      </c>
      <c r="D16" s="130">
        <v>44239</v>
      </c>
      <c r="E16" s="131">
        <v>44249</v>
      </c>
      <c r="F16" s="198">
        <v>1737</v>
      </c>
      <c r="G16" s="16">
        <f t="shared" si="0"/>
        <v>1447.5</v>
      </c>
      <c r="H16" s="16">
        <f t="shared" si="1"/>
        <v>289.5</v>
      </c>
      <c r="I16" s="203">
        <v>1000</v>
      </c>
      <c r="J16" s="129">
        <v>0</v>
      </c>
      <c r="K16" s="164"/>
      <c r="L16" s="16"/>
      <c r="M16" s="16">
        <f t="shared" si="2"/>
        <v>2737</v>
      </c>
      <c r="N16" s="40">
        <v>132.01</v>
      </c>
      <c r="O16" s="16"/>
      <c r="P16" s="16">
        <v>52.11</v>
      </c>
      <c r="Q16" s="14">
        <f>DESCONTOS!G15</f>
        <v>0</v>
      </c>
      <c r="R16" s="95">
        <f t="shared" si="3"/>
        <v>184.12</v>
      </c>
      <c r="S16" s="16"/>
      <c r="T16" s="16">
        <f t="shared" si="4"/>
        <v>2552.88</v>
      </c>
      <c r="U16" s="196"/>
      <c r="V16" s="195"/>
      <c r="W16" s="17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  <c r="CY16" s="93"/>
      <c r="CZ16" s="93"/>
      <c r="DA16" s="93"/>
      <c r="DB16" s="93"/>
      <c r="DC16" s="93"/>
      <c r="DD16" s="93"/>
      <c r="DE16" s="93"/>
      <c r="DF16" s="93"/>
      <c r="DG16" s="93"/>
      <c r="DH16" s="93"/>
      <c r="DI16" s="93"/>
      <c r="DJ16" s="93"/>
      <c r="DK16" s="93"/>
      <c r="DL16" s="93"/>
      <c r="DM16" s="93"/>
      <c r="DN16" s="93"/>
      <c r="DO16" s="93"/>
      <c r="DP16" s="93"/>
      <c r="DQ16" s="93"/>
      <c r="DR16" s="93"/>
      <c r="DS16" s="93"/>
      <c r="DT16" s="93"/>
      <c r="DU16" s="93"/>
      <c r="DV16" s="93"/>
      <c r="DW16" s="93"/>
      <c r="DX16" s="93"/>
      <c r="DY16" s="93"/>
      <c r="DZ16" s="93"/>
      <c r="EA16" s="93"/>
      <c r="EB16" s="93"/>
      <c r="EC16" s="93"/>
      <c r="ED16" s="93"/>
      <c r="EE16" s="93"/>
      <c r="EF16" s="93"/>
      <c r="EG16" s="93"/>
      <c r="EH16" s="93"/>
      <c r="EI16" s="93"/>
      <c r="EJ16" s="93"/>
      <c r="EK16" s="93"/>
      <c r="EL16" s="93"/>
      <c r="EM16" s="93"/>
      <c r="EN16" s="93"/>
      <c r="EO16" s="93"/>
      <c r="EP16" s="93"/>
      <c r="EQ16" s="93"/>
      <c r="ER16" s="93"/>
      <c r="ES16" s="93"/>
    </row>
    <row r="17" spans="1:149" s="6" customFormat="1" ht="19.5" customHeight="1" x14ac:dyDescent="0.25">
      <c r="A17" s="132"/>
      <c r="B17" s="209">
        <v>11</v>
      </c>
      <c r="C17" s="235" t="s">
        <v>42</v>
      </c>
      <c r="D17" s="130">
        <v>40973</v>
      </c>
      <c r="E17" s="131">
        <v>39329</v>
      </c>
      <c r="F17" s="16">
        <v>4185.3643499999998</v>
      </c>
      <c r="G17" s="16">
        <f t="shared" si="0"/>
        <v>3487.803625</v>
      </c>
      <c r="H17" s="16">
        <f t="shared" si="1"/>
        <v>697.56072499999993</v>
      </c>
      <c r="I17" s="16">
        <v>0</v>
      </c>
      <c r="J17" s="16"/>
      <c r="K17" s="16"/>
      <c r="L17" s="16"/>
      <c r="M17" s="16">
        <f t="shared" si="2"/>
        <v>4185.3643499999998</v>
      </c>
      <c r="N17" s="40">
        <v>390.83</v>
      </c>
      <c r="O17" s="16"/>
      <c r="P17" s="16">
        <v>139.37</v>
      </c>
      <c r="Q17" s="14">
        <f>DESCONTOS!G16</f>
        <v>0</v>
      </c>
      <c r="R17" s="95">
        <f t="shared" si="3"/>
        <v>530.20000000000005</v>
      </c>
      <c r="S17" s="16"/>
      <c r="T17" s="16">
        <f t="shared" si="4"/>
        <v>3655.16435</v>
      </c>
      <c r="U17" s="192"/>
      <c r="V17" s="195"/>
      <c r="W17" s="17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3"/>
      <c r="BP17" s="93"/>
      <c r="BQ17" s="93"/>
      <c r="BR17" s="93"/>
      <c r="BS17" s="93"/>
      <c r="BT17" s="93"/>
      <c r="BU17" s="93"/>
      <c r="BV17" s="93"/>
      <c r="BW17" s="93"/>
      <c r="BX17" s="93"/>
      <c r="BY17" s="93"/>
      <c r="BZ17" s="93"/>
      <c r="CA17" s="93"/>
      <c r="CB17" s="93"/>
      <c r="CC17" s="93"/>
      <c r="CD17" s="93"/>
      <c r="CE17" s="93"/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  <c r="CY17" s="93"/>
      <c r="CZ17" s="93"/>
      <c r="DA17" s="93"/>
      <c r="DB17" s="93"/>
      <c r="DC17" s="93"/>
      <c r="DD17" s="93"/>
      <c r="DE17" s="93"/>
      <c r="DF17" s="93"/>
      <c r="DG17" s="93"/>
      <c r="DH17" s="93"/>
      <c r="DI17" s="93"/>
      <c r="DJ17" s="93"/>
      <c r="DK17" s="93"/>
      <c r="DL17" s="93"/>
      <c r="DM17" s="93"/>
      <c r="DN17" s="93"/>
      <c r="DO17" s="93"/>
      <c r="DP17" s="93"/>
      <c r="DQ17" s="93"/>
      <c r="DR17" s="93"/>
      <c r="DS17" s="93"/>
      <c r="DT17" s="93"/>
      <c r="DU17" s="93"/>
      <c r="DV17" s="93"/>
      <c r="DW17" s="93"/>
      <c r="DX17" s="93"/>
      <c r="DY17" s="93"/>
      <c r="DZ17" s="93"/>
      <c r="EA17" s="93"/>
      <c r="EB17" s="93"/>
      <c r="EC17" s="93"/>
      <c r="ED17" s="93"/>
      <c r="EE17" s="93"/>
      <c r="EF17" s="93"/>
      <c r="EG17" s="93"/>
      <c r="EH17" s="93"/>
      <c r="EI17" s="93"/>
      <c r="EJ17" s="93"/>
      <c r="EK17" s="93"/>
      <c r="EL17" s="93"/>
      <c r="EM17" s="93"/>
      <c r="EN17" s="93"/>
      <c r="EO17" s="93"/>
      <c r="EP17" s="93"/>
      <c r="EQ17" s="93"/>
      <c r="ER17" s="93"/>
      <c r="ES17" s="93"/>
    </row>
    <row r="18" spans="1:149" s="6" customFormat="1" ht="19.5" customHeight="1" x14ac:dyDescent="0.25">
      <c r="A18" s="132"/>
      <c r="B18" s="209">
        <v>12</v>
      </c>
      <c r="C18" s="5"/>
      <c r="D18" s="130"/>
      <c r="E18" s="182"/>
      <c r="F18" s="14"/>
      <c r="G18" s="14">
        <f t="shared" si="0"/>
        <v>0</v>
      </c>
      <c r="H18" s="14">
        <f t="shared" si="1"/>
        <v>0</v>
      </c>
      <c r="I18" s="16"/>
      <c r="J18" s="13"/>
      <c r="K18" s="16"/>
      <c r="L18" s="16"/>
      <c r="M18" s="16">
        <f t="shared" si="2"/>
        <v>0</v>
      </c>
      <c r="N18" s="40"/>
      <c r="O18" s="16"/>
      <c r="P18" s="16"/>
      <c r="Q18" s="14">
        <f>DESCONTOS!G17</f>
        <v>0</v>
      </c>
      <c r="R18" s="95">
        <f t="shared" si="3"/>
        <v>0</v>
      </c>
      <c r="S18" s="16"/>
      <c r="T18" s="16">
        <f t="shared" si="4"/>
        <v>0</v>
      </c>
      <c r="U18" s="192"/>
      <c r="V18" s="195"/>
      <c r="W18" s="17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3"/>
      <c r="BP18" s="93"/>
      <c r="BQ18" s="93"/>
      <c r="BR18" s="93"/>
      <c r="BS18" s="93"/>
      <c r="BT18" s="93"/>
      <c r="BU18" s="93"/>
      <c r="BV18" s="93"/>
      <c r="BW18" s="93"/>
      <c r="BX18" s="93"/>
      <c r="BY18" s="93"/>
      <c r="BZ18" s="93"/>
      <c r="CA18" s="93"/>
      <c r="CB18" s="93"/>
      <c r="CC18" s="93"/>
      <c r="CD18" s="93"/>
      <c r="CE18" s="93"/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  <c r="CY18" s="93"/>
      <c r="CZ18" s="93"/>
      <c r="DA18" s="93"/>
      <c r="DB18" s="93"/>
      <c r="DC18" s="93"/>
      <c r="DD18" s="93"/>
      <c r="DE18" s="93"/>
      <c r="DF18" s="93"/>
      <c r="DG18" s="93"/>
      <c r="DH18" s="93"/>
      <c r="DI18" s="93"/>
      <c r="DJ18" s="93"/>
      <c r="DK18" s="93"/>
      <c r="DL18" s="93"/>
      <c r="DM18" s="93"/>
      <c r="DN18" s="93"/>
      <c r="DO18" s="93"/>
      <c r="DP18" s="93"/>
      <c r="DQ18" s="93"/>
      <c r="DR18" s="93"/>
      <c r="DS18" s="93"/>
      <c r="DT18" s="93"/>
      <c r="DU18" s="93"/>
      <c r="DV18" s="93"/>
      <c r="DW18" s="93"/>
      <c r="DX18" s="93"/>
      <c r="DY18" s="93"/>
      <c r="DZ18" s="93"/>
      <c r="EA18" s="93"/>
      <c r="EB18" s="93"/>
      <c r="EC18" s="93"/>
      <c r="ED18" s="93"/>
      <c r="EE18" s="93"/>
      <c r="EF18" s="93"/>
      <c r="EG18" s="93"/>
      <c r="EH18" s="93"/>
      <c r="EI18" s="93"/>
      <c r="EJ18" s="93"/>
      <c r="EK18" s="93"/>
      <c r="EL18" s="93"/>
      <c r="EM18" s="93"/>
      <c r="EN18" s="93"/>
      <c r="EO18" s="93"/>
      <c r="EP18" s="93"/>
      <c r="EQ18" s="93"/>
      <c r="ER18" s="93"/>
      <c r="ES18" s="93"/>
    </row>
    <row r="19" spans="1:149" s="6" customFormat="1" ht="19.5" customHeight="1" x14ac:dyDescent="0.25">
      <c r="A19" s="132"/>
      <c r="B19" s="209">
        <v>13</v>
      </c>
      <c r="C19" s="235" t="s">
        <v>68</v>
      </c>
      <c r="D19" s="130"/>
      <c r="E19" s="188">
        <v>45523</v>
      </c>
      <c r="F19" s="16">
        <v>1737</v>
      </c>
      <c r="G19" s="16">
        <f t="shared" si="0"/>
        <v>1447.5</v>
      </c>
      <c r="H19" s="16">
        <f t="shared" si="1"/>
        <v>289.5</v>
      </c>
      <c r="I19" s="16"/>
      <c r="J19" s="16">
        <v>527.5</v>
      </c>
      <c r="K19" s="16"/>
      <c r="L19" s="16"/>
      <c r="M19" s="16">
        <f t="shared" si="2"/>
        <v>2264.5</v>
      </c>
      <c r="N19" s="40">
        <v>132.01</v>
      </c>
      <c r="O19" s="16"/>
      <c r="P19" s="16">
        <v>52.11</v>
      </c>
      <c r="Q19" s="14">
        <f>DESCONTOS!G18</f>
        <v>33.5</v>
      </c>
      <c r="R19" s="95">
        <f t="shared" si="3"/>
        <v>217.62</v>
      </c>
      <c r="S19" s="16"/>
      <c r="T19" s="16">
        <f t="shared" si="4"/>
        <v>2046.88</v>
      </c>
      <c r="U19" s="192"/>
      <c r="V19" s="195"/>
      <c r="W19" s="17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3"/>
      <c r="BP19" s="93"/>
      <c r="BQ19" s="93"/>
      <c r="BR19" s="93"/>
      <c r="BS19" s="93"/>
      <c r="BT19" s="93"/>
      <c r="BU19" s="93"/>
      <c r="BV19" s="93"/>
      <c r="BW19" s="93"/>
      <c r="BX19" s="93"/>
      <c r="BY19" s="93"/>
      <c r="BZ19" s="93"/>
      <c r="CA19" s="93"/>
      <c r="CB19" s="93"/>
      <c r="CC19" s="93"/>
      <c r="CD19" s="93"/>
      <c r="CE19" s="93"/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  <c r="CY19" s="93"/>
      <c r="CZ19" s="93"/>
      <c r="DA19" s="93"/>
      <c r="DB19" s="93"/>
      <c r="DC19" s="93"/>
      <c r="DD19" s="93"/>
      <c r="DE19" s="93"/>
      <c r="DF19" s="93"/>
      <c r="DG19" s="93"/>
      <c r="DH19" s="93"/>
      <c r="DI19" s="93"/>
      <c r="DJ19" s="93"/>
      <c r="DK19" s="93"/>
      <c r="DL19" s="93"/>
      <c r="DM19" s="93"/>
      <c r="DN19" s="93"/>
      <c r="DO19" s="93"/>
      <c r="DP19" s="93"/>
      <c r="DQ19" s="93"/>
      <c r="DR19" s="93"/>
      <c r="DS19" s="93"/>
      <c r="DT19" s="93"/>
      <c r="DU19" s="93"/>
      <c r="DV19" s="93"/>
      <c r="DW19" s="93"/>
      <c r="DX19" s="93"/>
      <c r="DY19" s="93"/>
      <c r="DZ19" s="93"/>
      <c r="EA19" s="93"/>
      <c r="EB19" s="93"/>
      <c r="EC19" s="93"/>
      <c r="ED19" s="93"/>
      <c r="EE19" s="93"/>
      <c r="EF19" s="93"/>
      <c r="EG19" s="93"/>
      <c r="EH19" s="93"/>
      <c r="EI19" s="93"/>
      <c r="EJ19" s="93"/>
      <c r="EK19" s="93"/>
      <c r="EL19" s="93"/>
      <c r="EM19" s="93"/>
      <c r="EN19" s="93"/>
      <c r="EO19" s="93"/>
      <c r="EP19" s="93"/>
      <c r="EQ19" s="93"/>
      <c r="ER19" s="93"/>
      <c r="ES19" s="93"/>
    </row>
    <row r="20" spans="1:149" s="6" customFormat="1" ht="19.5" customHeight="1" x14ac:dyDescent="0.25">
      <c r="A20" s="132"/>
      <c r="B20" s="171">
        <v>14</v>
      </c>
      <c r="C20" s="235" t="s">
        <v>77</v>
      </c>
      <c r="D20" s="130"/>
      <c r="E20" s="188" t="s">
        <v>78</v>
      </c>
      <c r="F20" s="16">
        <v>2195.7820499999998</v>
      </c>
      <c r="G20" s="16">
        <f t="shared" si="0"/>
        <v>1829.8183749999998</v>
      </c>
      <c r="H20" s="16">
        <f t="shared" si="1"/>
        <v>365.96367499999997</v>
      </c>
      <c r="I20" s="16"/>
      <c r="J20" s="16"/>
      <c r="K20" s="16"/>
      <c r="L20" s="16"/>
      <c r="M20" s="16">
        <f t="shared" si="2"/>
        <v>2195.7820499999998</v>
      </c>
      <c r="N20" s="40">
        <v>173.28</v>
      </c>
      <c r="O20" s="16"/>
      <c r="P20" s="16">
        <v>73.12</v>
      </c>
      <c r="Q20" s="14">
        <f>DESCONTOS!G19</f>
        <v>0</v>
      </c>
      <c r="R20" s="95">
        <f t="shared" si="3"/>
        <v>246.4</v>
      </c>
      <c r="S20" s="16"/>
      <c r="T20" s="16">
        <f t="shared" si="4"/>
        <v>1949.3820499999997</v>
      </c>
      <c r="U20" s="192"/>
      <c r="V20" s="195"/>
      <c r="W20" s="17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  <c r="CY20" s="93"/>
      <c r="CZ20" s="93"/>
      <c r="DA20" s="93"/>
      <c r="DB20" s="93"/>
      <c r="DC20" s="93"/>
      <c r="DD20" s="93"/>
      <c r="DE20" s="93"/>
      <c r="DF20" s="93"/>
      <c r="DG20" s="93"/>
      <c r="DH20" s="93"/>
      <c r="DI20" s="93"/>
      <c r="DJ20" s="93"/>
      <c r="DK20" s="93"/>
      <c r="DL20" s="93"/>
      <c r="DM20" s="93"/>
      <c r="DN20" s="93"/>
      <c r="DO20" s="93"/>
      <c r="DP20" s="93"/>
      <c r="DQ20" s="93"/>
      <c r="DR20" s="93"/>
      <c r="DS20" s="93"/>
      <c r="DT20" s="93"/>
      <c r="DU20" s="93"/>
      <c r="DV20" s="93"/>
      <c r="DW20" s="93"/>
      <c r="DX20" s="93"/>
      <c r="DY20" s="93"/>
      <c r="DZ20" s="93"/>
      <c r="EA20" s="93"/>
      <c r="EB20" s="93"/>
      <c r="EC20" s="93"/>
      <c r="ED20" s="93"/>
      <c r="EE20" s="93"/>
      <c r="EF20" s="93"/>
      <c r="EG20" s="93"/>
      <c r="EH20" s="93"/>
      <c r="EI20" s="93"/>
      <c r="EJ20" s="93"/>
      <c r="EK20" s="93"/>
      <c r="EL20" s="93"/>
      <c r="EM20" s="93"/>
      <c r="EN20" s="93"/>
      <c r="EO20" s="93"/>
      <c r="EP20" s="93"/>
      <c r="EQ20" s="93"/>
      <c r="ER20" s="93"/>
      <c r="ES20" s="93"/>
    </row>
    <row r="21" spans="1:149" s="6" customFormat="1" ht="19.5" customHeight="1" x14ac:dyDescent="0.25">
      <c r="A21" s="132"/>
      <c r="B21" s="209">
        <v>15</v>
      </c>
      <c r="C21" s="144"/>
      <c r="D21" s="130"/>
      <c r="E21" s="182"/>
      <c r="F21" s="14"/>
      <c r="G21" s="16">
        <f t="shared" si="0"/>
        <v>0</v>
      </c>
      <c r="H21" s="14">
        <f t="shared" si="1"/>
        <v>0</v>
      </c>
      <c r="I21" s="14"/>
      <c r="J21" s="129"/>
      <c r="K21" s="14"/>
      <c r="L21" s="14"/>
      <c r="M21" s="16">
        <f t="shared" si="2"/>
        <v>0</v>
      </c>
      <c r="N21" s="14"/>
      <c r="O21" s="14"/>
      <c r="P21" s="14"/>
      <c r="Q21" s="14">
        <f>DESCONTOS!G20</f>
        <v>0</v>
      </c>
      <c r="R21" s="95">
        <f t="shared" si="3"/>
        <v>0</v>
      </c>
      <c r="S21" s="14"/>
      <c r="T21" s="16">
        <f t="shared" si="4"/>
        <v>0</v>
      </c>
      <c r="U21" s="194"/>
      <c r="V21" s="195"/>
      <c r="W21" s="17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  <c r="CY21" s="93"/>
      <c r="CZ21" s="93"/>
      <c r="DA21" s="93"/>
      <c r="DB21" s="93"/>
      <c r="DC21" s="93"/>
      <c r="DD21" s="93"/>
      <c r="DE21" s="93"/>
      <c r="DF21" s="93"/>
      <c r="DG21" s="93"/>
      <c r="DH21" s="93"/>
      <c r="DI21" s="93"/>
      <c r="DJ21" s="93"/>
      <c r="DK21" s="93"/>
      <c r="DL21" s="93"/>
      <c r="DM21" s="93"/>
      <c r="DN21" s="93"/>
      <c r="DO21" s="93"/>
      <c r="DP21" s="93"/>
      <c r="DQ21" s="93"/>
      <c r="DR21" s="93"/>
      <c r="DS21" s="93"/>
      <c r="DT21" s="93"/>
      <c r="DU21" s="93"/>
      <c r="DV21" s="93"/>
      <c r="DW21" s="93"/>
      <c r="DX21" s="93"/>
      <c r="DY21" s="93"/>
      <c r="DZ21" s="93"/>
      <c r="EA21" s="93"/>
      <c r="EB21" s="93"/>
      <c r="EC21" s="93"/>
      <c r="ED21" s="93"/>
      <c r="EE21" s="93"/>
      <c r="EF21" s="93"/>
      <c r="EG21" s="93"/>
      <c r="EH21" s="93"/>
      <c r="EI21" s="93"/>
      <c r="EJ21" s="93"/>
      <c r="EK21" s="93"/>
      <c r="EL21" s="93"/>
      <c r="EM21" s="93"/>
      <c r="EN21" s="93"/>
      <c r="EO21" s="93"/>
      <c r="EP21" s="93"/>
      <c r="EQ21" s="93"/>
      <c r="ER21" s="93"/>
      <c r="ES21" s="93"/>
    </row>
    <row r="22" spans="1:149" s="6" customFormat="1" ht="19.5" customHeight="1" x14ac:dyDescent="0.25">
      <c r="A22" s="132"/>
      <c r="B22" s="209">
        <v>16</v>
      </c>
      <c r="C22" s="244" t="s">
        <v>59</v>
      </c>
      <c r="D22" s="219">
        <v>45757</v>
      </c>
      <c r="E22" s="220">
        <v>44655</v>
      </c>
      <c r="F22" s="221">
        <v>2195.7800000000002</v>
      </c>
      <c r="G22" s="14">
        <f t="shared" si="0"/>
        <v>1829.8166666666668</v>
      </c>
      <c r="H22" s="14">
        <f t="shared" si="1"/>
        <v>365.96333333333337</v>
      </c>
      <c r="I22" s="16"/>
      <c r="J22" s="129">
        <v>1737</v>
      </c>
      <c r="K22" s="16"/>
      <c r="L22" s="16"/>
      <c r="M22" s="16">
        <f t="shared" si="2"/>
        <v>3932.78</v>
      </c>
      <c r="N22" s="40">
        <v>173.28</v>
      </c>
      <c r="O22" s="16">
        <v>0</v>
      </c>
      <c r="P22" s="16">
        <v>73.12</v>
      </c>
      <c r="Q22" s="14">
        <f>DESCONTOS!G21</f>
        <v>0</v>
      </c>
      <c r="R22" s="95">
        <f t="shared" si="3"/>
        <v>246.4</v>
      </c>
      <c r="S22" s="16"/>
      <c r="T22" s="16">
        <f t="shared" si="4"/>
        <v>3686.38</v>
      </c>
      <c r="U22" s="192"/>
      <c r="V22" s="195"/>
      <c r="W22" s="17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93"/>
      <c r="CA22" s="93"/>
      <c r="CB22" s="93"/>
      <c r="CC22" s="93"/>
      <c r="CD22" s="93"/>
      <c r="CE22" s="93"/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  <c r="CY22" s="93"/>
      <c r="CZ22" s="93"/>
      <c r="DA22" s="93"/>
      <c r="DB22" s="93"/>
      <c r="DC22" s="93"/>
      <c r="DD22" s="93"/>
      <c r="DE22" s="93"/>
      <c r="DF22" s="93"/>
      <c r="DG22" s="93"/>
      <c r="DH22" s="93"/>
      <c r="DI22" s="93"/>
      <c r="DJ22" s="93"/>
      <c r="DK22" s="93"/>
      <c r="DL22" s="93"/>
      <c r="DM22" s="93"/>
      <c r="DN22" s="93"/>
      <c r="DO22" s="93"/>
      <c r="DP22" s="93"/>
      <c r="DQ22" s="93"/>
      <c r="DR22" s="93"/>
      <c r="DS22" s="93"/>
      <c r="DT22" s="93"/>
      <c r="DU22" s="93"/>
      <c r="DV22" s="93"/>
      <c r="DW22" s="93"/>
      <c r="DX22" s="93"/>
      <c r="DY22" s="93"/>
      <c r="DZ22" s="93"/>
      <c r="EA22" s="93"/>
      <c r="EB22" s="93"/>
      <c r="EC22" s="93"/>
      <c r="ED22" s="93"/>
      <c r="EE22" s="93"/>
      <c r="EF22" s="93"/>
      <c r="EG22" s="93"/>
      <c r="EH22" s="93"/>
      <c r="EI22" s="93"/>
      <c r="EJ22" s="93"/>
      <c r="EK22" s="93"/>
      <c r="EL22" s="93"/>
      <c r="EM22" s="93"/>
      <c r="EN22" s="93"/>
      <c r="EO22" s="93"/>
      <c r="EP22" s="93"/>
      <c r="EQ22" s="93"/>
      <c r="ER22" s="93"/>
      <c r="ES22" s="93"/>
    </row>
    <row r="23" spans="1:149" s="6" customFormat="1" ht="19.5" customHeight="1" x14ac:dyDescent="0.25">
      <c r="A23" s="132"/>
      <c r="B23" s="209">
        <v>17</v>
      </c>
      <c r="C23" s="235" t="s">
        <v>73</v>
      </c>
      <c r="D23" s="205"/>
      <c r="E23" s="206">
        <v>45869</v>
      </c>
      <c r="F23" s="204">
        <v>1737</v>
      </c>
      <c r="G23" s="207">
        <f t="shared" si="0"/>
        <v>1447.5</v>
      </c>
      <c r="H23" s="207">
        <f t="shared" si="1"/>
        <v>289.5</v>
      </c>
      <c r="I23" s="16"/>
      <c r="J23" s="204">
        <v>1728.05</v>
      </c>
      <c r="K23" s="207"/>
      <c r="L23" s="251">
        <v>90</v>
      </c>
      <c r="M23" s="207">
        <f t="shared" si="2"/>
        <v>3555.05</v>
      </c>
      <c r="N23" s="208">
        <v>132.01</v>
      </c>
      <c r="O23" s="207"/>
      <c r="P23" s="207">
        <v>52.11</v>
      </c>
      <c r="Q23" s="14">
        <f>DESCONTOS!G22</f>
        <v>11.5</v>
      </c>
      <c r="R23" s="95">
        <f t="shared" si="3"/>
        <v>195.62</v>
      </c>
      <c r="S23" s="207">
        <v>67.540000000000006</v>
      </c>
      <c r="T23" s="207">
        <f t="shared" si="4"/>
        <v>3426.9700000000003</v>
      </c>
      <c r="U23" s="192" t="s">
        <v>85</v>
      </c>
      <c r="V23" s="195"/>
      <c r="W23" s="17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3"/>
      <c r="BK23" s="93"/>
      <c r="BL23" s="93"/>
      <c r="BM23" s="93"/>
      <c r="BN23" s="93"/>
      <c r="BO23" s="93"/>
      <c r="BP23" s="93"/>
      <c r="BQ23" s="93"/>
      <c r="BR23" s="93"/>
      <c r="BS23" s="93"/>
      <c r="BT23" s="93"/>
      <c r="BU23" s="93"/>
      <c r="BV23" s="93"/>
      <c r="BW23" s="93"/>
      <c r="BX23" s="93"/>
      <c r="BY23" s="93"/>
      <c r="BZ23" s="93"/>
      <c r="CA23" s="93"/>
      <c r="CB23" s="93"/>
      <c r="CC23" s="93"/>
      <c r="CD23" s="93"/>
      <c r="CE23" s="93"/>
      <c r="CF23" s="93"/>
      <c r="CG23" s="93"/>
      <c r="CH23" s="93"/>
      <c r="CI23" s="93"/>
      <c r="CJ23" s="93"/>
      <c r="CK23" s="93"/>
      <c r="CL23" s="93"/>
      <c r="CM23" s="93"/>
      <c r="CN23" s="93"/>
      <c r="CO23" s="93"/>
      <c r="CP23" s="93"/>
      <c r="CQ23" s="93"/>
      <c r="CR23" s="93"/>
      <c r="CS23" s="93"/>
      <c r="CT23" s="93"/>
      <c r="CU23" s="93"/>
      <c r="CV23" s="93"/>
      <c r="CW23" s="93"/>
      <c r="CX23" s="93"/>
      <c r="CY23" s="93"/>
      <c r="CZ23" s="93"/>
      <c r="DA23" s="93"/>
      <c r="DB23" s="93"/>
      <c r="DC23" s="93"/>
      <c r="DD23" s="93"/>
      <c r="DE23" s="93"/>
      <c r="DF23" s="93"/>
      <c r="DG23" s="93"/>
      <c r="DH23" s="93"/>
      <c r="DI23" s="93"/>
      <c r="DJ23" s="93"/>
      <c r="DK23" s="93"/>
      <c r="DL23" s="93"/>
      <c r="DM23" s="93"/>
      <c r="DN23" s="93"/>
      <c r="DO23" s="93"/>
      <c r="DP23" s="93"/>
      <c r="DQ23" s="93"/>
      <c r="DR23" s="93"/>
      <c r="DS23" s="93"/>
      <c r="DT23" s="93"/>
      <c r="DU23" s="93"/>
      <c r="DV23" s="93"/>
      <c r="DW23" s="93"/>
      <c r="DX23" s="93"/>
      <c r="DY23" s="93"/>
      <c r="DZ23" s="93"/>
      <c r="EA23" s="93"/>
      <c r="EB23" s="93"/>
      <c r="EC23" s="93"/>
      <c r="ED23" s="93"/>
      <c r="EE23" s="93"/>
      <c r="EF23" s="93"/>
      <c r="EG23" s="93"/>
      <c r="EH23" s="93"/>
      <c r="EI23" s="93"/>
      <c r="EJ23" s="93"/>
      <c r="EK23" s="93"/>
      <c r="EL23" s="93"/>
      <c r="EM23" s="93"/>
      <c r="EN23" s="93"/>
      <c r="EO23" s="93"/>
      <c r="EP23" s="93"/>
      <c r="EQ23" s="93"/>
      <c r="ER23" s="93"/>
      <c r="ES23" s="93"/>
    </row>
    <row r="24" spans="1:149" s="6" customFormat="1" ht="19.5" customHeight="1" x14ac:dyDescent="0.25">
      <c r="A24" s="132"/>
      <c r="B24" s="209">
        <v>18</v>
      </c>
      <c r="C24" s="5"/>
      <c r="D24" s="130"/>
      <c r="E24" s="188"/>
      <c r="F24" s="16"/>
      <c r="G24" s="16">
        <f t="shared" si="0"/>
        <v>0</v>
      </c>
      <c r="H24" s="16">
        <f t="shared" si="1"/>
        <v>0</v>
      </c>
      <c r="I24" s="16"/>
      <c r="J24" s="16"/>
      <c r="K24" s="16"/>
      <c r="L24" s="16"/>
      <c r="M24" s="16">
        <f t="shared" si="2"/>
        <v>0</v>
      </c>
      <c r="N24" s="40"/>
      <c r="O24" s="16"/>
      <c r="P24" s="16"/>
      <c r="Q24" s="14">
        <f>DESCONTOS!G23</f>
        <v>0</v>
      </c>
      <c r="R24" s="95">
        <f t="shared" si="3"/>
        <v>0</v>
      </c>
      <c r="S24" s="16"/>
      <c r="T24" s="16">
        <f t="shared" si="4"/>
        <v>0</v>
      </c>
      <c r="U24" s="192"/>
      <c r="V24" s="195"/>
      <c r="W24" s="17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93"/>
      <c r="BV24" s="93"/>
      <c r="BW24" s="93"/>
      <c r="BX24" s="93"/>
      <c r="BY24" s="93"/>
      <c r="BZ24" s="93"/>
      <c r="CA24" s="93"/>
      <c r="CB24" s="93"/>
      <c r="CC24" s="93"/>
      <c r="CD24" s="93"/>
      <c r="CE24" s="93"/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93"/>
      <c r="CW24" s="93"/>
      <c r="CX24" s="93"/>
      <c r="CY24" s="93"/>
      <c r="CZ24" s="93"/>
      <c r="DA24" s="93"/>
      <c r="DB24" s="93"/>
      <c r="DC24" s="93"/>
      <c r="DD24" s="93"/>
      <c r="DE24" s="93"/>
      <c r="DF24" s="93"/>
      <c r="DG24" s="93"/>
      <c r="DH24" s="93"/>
      <c r="DI24" s="93"/>
      <c r="DJ24" s="93"/>
      <c r="DK24" s="93"/>
      <c r="DL24" s="93"/>
      <c r="DM24" s="93"/>
      <c r="DN24" s="93"/>
      <c r="DO24" s="93"/>
      <c r="DP24" s="93"/>
      <c r="DQ24" s="93"/>
      <c r="DR24" s="93"/>
      <c r="DS24" s="93"/>
      <c r="DT24" s="93"/>
      <c r="DU24" s="93"/>
      <c r="DV24" s="93"/>
      <c r="DW24" s="93"/>
      <c r="DX24" s="93"/>
      <c r="DY24" s="93"/>
      <c r="DZ24" s="93"/>
      <c r="EA24" s="93"/>
      <c r="EB24" s="93"/>
      <c r="EC24" s="93"/>
      <c r="ED24" s="93"/>
      <c r="EE24" s="93"/>
      <c r="EF24" s="93"/>
      <c r="EG24" s="93"/>
      <c r="EH24" s="93"/>
      <c r="EI24" s="93"/>
      <c r="EJ24" s="93"/>
      <c r="EK24" s="93"/>
      <c r="EL24" s="93"/>
      <c r="EM24" s="93"/>
      <c r="EN24" s="93"/>
      <c r="EO24" s="93"/>
      <c r="EP24" s="93"/>
      <c r="EQ24" s="93"/>
      <c r="ER24" s="93"/>
      <c r="ES24" s="93"/>
    </row>
    <row r="25" spans="1:149" s="6" customFormat="1" ht="19.5" customHeight="1" x14ac:dyDescent="0.25">
      <c r="A25" s="132"/>
      <c r="B25" s="209">
        <v>19</v>
      </c>
      <c r="C25" s="176"/>
      <c r="D25" s="177"/>
      <c r="E25" s="178"/>
      <c r="F25" s="181"/>
      <c r="G25" s="180">
        <f t="shared" si="0"/>
        <v>0</v>
      </c>
      <c r="H25" s="14">
        <f t="shared" si="1"/>
        <v>0</v>
      </c>
      <c r="I25" s="16"/>
      <c r="J25" s="13"/>
      <c r="K25" s="16"/>
      <c r="L25" s="16"/>
      <c r="M25" s="16">
        <f t="shared" si="2"/>
        <v>0</v>
      </c>
      <c r="N25" s="40"/>
      <c r="O25" s="16"/>
      <c r="P25" s="16"/>
      <c r="Q25" s="14">
        <f>DESCONTOS!G24</f>
        <v>0</v>
      </c>
      <c r="R25" s="95">
        <f t="shared" si="3"/>
        <v>0</v>
      </c>
      <c r="S25" s="16"/>
      <c r="T25" s="16"/>
      <c r="U25" s="192"/>
      <c r="V25" s="195"/>
      <c r="W25" s="17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  <c r="CY25" s="93"/>
      <c r="CZ25" s="93"/>
      <c r="DA25" s="93"/>
      <c r="DB25" s="93"/>
      <c r="DC25" s="93"/>
      <c r="DD25" s="93"/>
      <c r="DE25" s="93"/>
      <c r="DF25" s="93"/>
      <c r="DG25" s="93"/>
      <c r="DH25" s="93"/>
      <c r="DI25" s="93"/>
      <c r="DJ25" s="93"/>
      <c r="DK25" s="93"/>
      <c r="DL25" s="93"/>
      <c r="DM25" s="93"/>
      <c r="DN25" s="93"/>
      <c r="DO25" s="93"/>
      <c r="DP25" s="93"/>
      <c r="DQ25" s="93"/>
      <c r="DR25" s="93"/>
      <c r="DS25" s="93"/>
      <c r="DT25" s="93"/>
      <c r="DU25" s="93"/>
      <c r="DV25" s="93"/>
      <c r="DW25" s="93"/>
      <c r="DX25" s="93"/>
      <c r="DY25" s="93"/>
      <c r="DZ25" s="93"/>
      <c r="EA25" s="93"/>
      <c r="EB25" s="93"/>
      <c r="EC25" s="93"/>
      <c r="ED25" s="93"/>
      <c r="EE25" s="93"/>
      <c r="EF25" s="93"/>
      <c r="EG25" s="93"/>
      <c r="EH25" s="93"/>
      <c r="EI25" s="93"/>
      <c r="EJ25" s="93"/>
      <c r="EK25" s="93"/>
      <c r="EL25" s="93"/>
      <c r="EM25" s="93"/>
      <c r="EN25" s="93"/>
      <c r="EO25" s="93"/>
      <c r="EP25" s="93"/>
      <c r="EQ25" s="93"/>
      <c r="ER25" s="93"/>
      <c r="ES25" s="93"/>
    </row>
    <row r="26" spans="1:149" s="6" customFormat="1" ht="19.5" customHeight="1" x14ac:dyDescent="0.25">
      <c r="A26" s="132"/>
      <c r="B26" s="171">
        <v>20</v>
      </c>
      <c r="C26" s="129"/>
      <c r="D26" s="185"/>
      <c r="E26" s="186"/>
      <c r="F26" s="14"/>
      <c r="G26" s="14">
        <f t="shared" si="0"/>
        <v>0</v>
      </c>
      <c r="H26" s="14">
        <f t="shared" si="1"/>
        <v>0</v>
      </c>
      <c r="I26" s="16"/>
      <c r="J26" s="16"/>
      <c r="K26" s="16"/>
      <c r="L26" s="16"/>
      <c r="M26" s="16">
        <f t="shared" si="2"/>
        <v>0</v>
      </c>
      <c r="N26" s="40"/>
      <c r="O26" s="187"/>
      <c r="P26" s="187"/>
      <c r="Q26" s="14">
        <f>DESCONTOS!G25</f>
        <v>926.93</v>
      </c>
      <c r="R26" s="95">
        <f t="shared" si="3"/>
        <v>926.93</v>
      </c>
      <c r="S26" s="16"/>
      <c r="T26" s="16">
        <f>M26-R26+S26</f>
        <v>-926.93</v>
      </c>
      <c r="U26" s="192"/>
      <c r="V26" s="195"/>
      <c r="W26" s="17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</row>
    <row r="27" spans="1:149" s="6" customFormat="1" ht="19.5" customHeight="1" x14ac:dyDescent="0.25">
      <c r="A27" s="132"/>
      <c r="B27" s="171">
        <v>21</v>
      </c>
      <c r="C27" s="129"/>
      <c r="D27" s="130"/>
      <c r="E27" s="188"/>
      <c r="F27" s="16"/>
      <c r="G27" s="16"/>
      <c r="H27" s="16"/>
      <c r="I27" s="16"/>
      <c r="J27" s="16"/>
      <c r="K27" s="16"/>
      <c r="L27" s="16"/>
      <c r="M27" s="16"/>
      <c r="N27" s="40"/>
      <c r="O27" s="16"/>
      <c r="P27" s="16"/>
      <c r="Q27" s="14">
        <f>DESCONTOS!G26</f>
        <v>0</v>
      </c>
      <c r="R27" s="95"/>
      <c r="S27" s="16"/>
      <c r="T27" s="16"/>
      <c r="U27" s="192"/>
      <c r="V27" s="195"/>
      <c r="W27" s="17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93"/>
      <c r="DA27" s="93"/>
      <c r="DB27" s="93"/>
      <c r="DC27" s="93"/>
      <c r="DD27" s="93"/>
      <c r="DE27" s="93"/>
      <c r="DF27" s="93"/>
      <c r="DG27" s="93"/>
      <c r="DH27" s="93"/>
      <c r="DI27" s="93"/>
      <c r="DJ27" s="93"/>
      <c r="DK27" s="93"/>
      <c r="DL27" s="93"/>
      <c r="DM27" s="93"/>
      <c r="DN27" s="93"/>
      <c r="DO27" s="93"/>
      <c r="DP27" s="93"/>
      <c r="DQ27" s="93"/>
      <c r="DR27" s="93"/>
      <c r="DS27" s="93"/>
      <c r="DT27" s="93"/>
      <c r="DU27" s="93"/>
      <c r="DV27" s="93"/>
      <c r="DW27" s="93"/>
      <c r="DX27" s="93"/>
      <c r="DY27" s="93"/>
      <c r="DZ27" s="93"/>
      <c r="EA27" s="93"/>
      <c r="EB27" s="93"/>
      <c r="EC27" s="93"/>
      <c r="ED27" s="93"/>
      <c r="EE27" s="93"/>
      <c r="EF27" s="93"/>
      <c r="EG27" s="93"/>
      <c r="EH27" s="93"/>
      <c r="EI27" s="93"/>
      <c r="EJ27" s="93"/>
      <c r="EK27" s="93"/>
      <c r="EL27" s="93"/>
      <c r="EM27" s="93"/>
      <c r="EN27" s="93"/>
      <c r="EO27" s="93"/>
      <c r="EP27" s="93"/>
      <c r="EQ27" s="93"/>
      <c r="ER27" s="93"/>
      <c r="ES27" s="93"/>
    </row>
    <row r="28" spans="1:149" s="6" customFormat="1" ht="20.100000000000001" customHeight="1" x14ac:dyDescent="0.25">
      <c r="A28" s="93"/>
      <c r="B28" s="129"/>
      <c r="C28" s="108" t="s">
        <v>51</v>
      </c>
      <c r="D28" s="17"/>
      <c r="E28" s="108"/>
      <c r="F28" s="18">
        <f>SUM(F7:F23)</f>
        <v>31950.216399999998</v>
      </c>
      <c r="G28" s="18">
        <f>SUM(G7:G23)</f>
        <v>26625.180333333334</v>
      </c>
      <c r="H28" s="18">
        <f>SUM(H7:H23)</f>
        <v>5325.0360666666666</v>
      </c>
      <c r="I28" s="18">
        <f t="shared" ref="I28:S28" si="5">SUM(I7:I22)</f>
        <v>2640.49</v>
      </c>
      <c r="J28" s="18">
        <f>SUM(J7:J23)</f>
        <v>12912.93</v>
      </c>
      <c r="K28" s="18">
        <f t="shared" si="5"/>
        <v>921.9</v>
      </c>
      <c r="L28" s="18">
        <f t="shared" si="5"/>
        <v>330</v>
      </c>
      <c r="M28" s="18">
        <f>SUM(M7:M22)</f>
        <v>45290.486400000002</v>
      </c>
      <c r="N28" s="18">
        <f>SUM(N7:N23)</f>
        <v>2951.2800000000007</v>
      </c>
      <c r="O28" s="18">
        <f>SUM(O7:O22)</f>
        <v>649.22</v>
      </c>
      <c r="P28" s="18"/>
      <c r="Q28" s="18">
        <f t="shared" si="5"/>
        <v>926.93</v>
      </c>
      <c r="R28" s="18">
        <f t="shared" si="5"/>
        <v>5263.829999999999</v>
      </c>
      <c r="S28" s="18">
        <f t="shared" si="5"/>
        <v>0</v>
      </c>
      <c r="T28" s="191">
        <f>SUM(T7:T27)</f>
        <v>42526.696400000001</v>
      </c>
      <c r="U28" s="197"/>
      <c r="V28" s="173"/>
      <c r="W28" s="17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93"/>
      <c r="DA28" s="93"/>
      <c r="DB28" s="93"/>
      <c r="DC28" s="93"/>
      <c r="DD28" s="93"/>
      <c r="DE28" s="93"/>
      <c r="DF28" s="93"/>
      <c r="DG28" s="93"/>
      <c r="DH28" s="93"/>
      <c r="DI28" s="93"/>
      <c r="DJ28" s="93"/>
      <c r="DK28" s="93"/>
      <c r="DL28" s="93"/>
      <c r="DM28" s="93"/>
      <c r="DN28" s="93"/>
      <c r="DO28" s="93"/>
      <c r="DP28" s="93"/>
      <c r="DQ28" s="93"/>
      <c r="DR28" s="93"/>
      <c r="DS28" s="93"/>
      <c r="DT28" s="93"/>
      <c r="DU28" s="93"/>
      <c r="DV28" s="93"/>
      <c r="DW28" s="93"/>
      <c r="DX28" s="93"/>
      <c r="DY28" s="93"/>
      <c r="DZ28" s="93"/>
      <c r="EA28" s="93"/>
      <c r="EB28" s="93"/>
      <c r="EC28" s="93"/>
      <c r="ED28" s="93"/>
      <c r="EE28" s="93"/>
      <c r="EF28" s="93"/>
      <c r="EG28" s="93"/>
      <c r="EH28" s="93"/>
      <c r="EI28" s="93"/>
      <c r="EJ28" s="93"/>
      <c r="EK28" s="93"/>
      <c r="EL28" s="93"/>
      <c r="EM28" s="93"/>
      <c r="EN28" s="93"/>
      <c r="EO28" s="93"/>
      <c r="EP28" s="93"/>
      <c r="EQ28" s="93"/>
      <c r="ER28" s="93"/>
      <c r="ES28" s="93"/>
    </row>
    <row r="29" spans="1:149" x14ac:dyDescent="0.25">
      <c r="I29" s="109"/>
    </row>
    <row r="31" spans="1:149" x14ac:dyDescent="0.25">
      <c r="H31" s="158"/>
      <c r="T31" s="110">
        <f>SUM(T28+Funcionários!Q17+'F. FUND. II'!S19)</f>
        <v>83508.575699999987</v>
      </c>
    </row>
    <row r="33" spans="3:21" x14ac:dyDescent="0.25">
      <c r="C33" s="100"/>
      <c r="D33" s="100"/>
      <c r="E33" s="134"/>
      <c r="F33" s="100"/>
      <c r="H33" s="132"/>
      <c r="O33" s="158"/>
      <c r="P33" s="158"/>
    </row>
    <row r="34" spans="3:21" x14ac:dyDescent="0.25">
      <c r="C34" s="100"/>
      <c r="D34" s="100"/>
      <c r="E34" s="134"/>
      <c r="F34" s="100"/>
      <c r="G34" s="100"/>
      <c r="U34" s="158"/>
    </row>
    <row r="37" spans="3:21" x14ac:dyDescent="0.25">
      <c r="H37" s="234"/>
    </row>
  </sheetData>
  <sortState ref="C7:T27">
    <sortCondition ref="C7"/>
  </sortState>
  <mergeCells count="4">
    <mergeCell ref="U11:W11"/>
    <mergeCell ref="N5:R5"/>
    <mergeCell ref="D3:M3"/>
    <mergeCell ref="N3:R3"/>
  </mergeCells>
  <phoneticPr fontId="0" type="noConversion"/>
  <pageMargins left="0" right="0.19685039370078741" top="0.39370078740157483" bottom="0.98425196850393704" header="0.51181102362204722" footer="0.51181102362204722"/>
  <pageSetup paperSize="9" scale="35" orientation="landscape" r:id="rId1"/>
  <headerFooter alignWithMargins="0">
    <oddHeader>&amp;A</oddHeader>
    <oddFooter>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1"/>
  <sheetViews>
    <sheetView zoomScale="70" zoomScaleNormal="70" workbookViewId="0">
      <selection activeCell="N22" sqref="N22"/>
    </sheetView>
  </sheetViews>
  <sheetFormatPr defaultColWidth="11.19921875" defaultRowHeight="18" x14ac:dyDescent="0.25"/>
  <cols>
    <col min="1" max="1" width="11.19921875" style="93"/>
    <col min="2" max="2" width="3.19921875" style="93" bestFit="1" customWidth="1"/>
    <col min="3" max="3" width="32.3984375" style="93" customWidth="1"/>
    <col min="4" max="4" width="11.3984375" style="93" customWidth="1"/>
    <col min="5" max="5" width="10.59765625" style="101" customWidth="1"/>
    <col min="6" max="6" width="12.09765625" style="93" customWidth="1"/>
    <col min="7" max="7" width="9.8984375" style="93" customWidth="1"/>
    <col min="8" max="8" width="9.796875" style="93" customWidth="1"/>
    <col min="9" max="9" width="11.19921875" style="93" customWidth="1"/>
    <col min="10" max="10" width="12.5" style="93" customWidth="1"/>
    <col min="11" max="12" width="10.8984375" style="93" customWidth="1"/>
    <col min="13" max="13" width="14.59765625" style="93" customWidth="1"/>
    <col min="14" max="14" width="9.796875" style="93" customWidth="1"/>
    <col min="15" max="15" width="10.59765625" style="93" customWidth="1"/>
    <col min="16" max="16" width="8.19921875" style="93" customWidth="1"/>
    <col min="17" max="17" width="12.5" style="93" bestFit="1" customWidth="1"/>
    <col min="18" max="16384" width="11.19921875" style="93"/>
  </cols>
  <sheetData>
    <row r="1" spans="1:18" x14ac:dyDescent="0.25">
      <c r="D1" s="263" t="s">
        <v>0</v>
      </c>
      <c r="E1" s="263"/>
      <c r="F1" s="263"/>
      <c r="G1" s="263"/>
      <c r="H1" s="263"/>
      <c r="I1" s="263"/>
    </row>
    <row r="2" spans="1:18" x14ac:dyDescent="0.25">
      <c r="N2" s="262" t="s">
        <v>89</v>
      </c>
      <c r="O2" s="262"/>
      <c r="P2" s="262"/>
      <c r="Q2" s="262"/>
    </row>
    <row r="3" spans="1:18" ht="15.75" customHeight="1" x14ac:dyDescent="0.25">
      <c r="E3" s="115"/>
    </row>
    <row r="4" spans="1:18" x14ac:dyDescent="0.25">
      <c r="O4" s="102"/>
    </row>
    <row r="5" spans="1:18" x14ac:dyDescent="0.25">
      <c r="B5" s="17"/>
      <c r="C5" s="17"/>
      <c r="D5" s="17"/>
      <c r="E5" s="108"/>
      <c r="F5" s="264" t="s">
        <v>1</v>
      </c>
      <c r="G5" s="264"/>
      <c r="H5" s="17"/>
      <c r="I5" s="17"/>
      <c r="J5" s="17"/>
      <c r="K5" s="264" t="s">
        <v>2</v>
      </c>
      <c r="L5" s="264"/>
      <c r="M5" s="264"/>
      <c r="N5" s="264"/>
      <c r="O5" s="264"/>
      <c r="P5" s="74" t="s">
        <v>3</v>
      </c>
      <c r="Q5" s="74" t="s">
        <v>4</v>
      </c>
    </row>
    <row r="6" spans="1:18" ht="36" customHeight="1" x14ac:dyDescent="0.25">
      <c r="A6" s="132"/>
      <c r="B6" s="108" t="s">
        <v>5</v>
      </c>
      <c r="C6" s="74" t="s">
        <v>6</v>
      </c>
      <c r="D6" s="74" t="s">
        <v>20</v>
      </c>
      <c r="E6" s="108" t="s">
        <v>17</v>
      </c>
      <c r="F6" s="74" t="s">
        <v>35</v>
      </c>
      <c r="G6" s="74" t="s">
        <v>7</v>
      </c>
      <c r="H6" s="73" t="s">
        <v>19</v>
      </c>
      <c r="I6" s="98" t="s">
        <v>58</v>
      </c>
      <c r="J6" s="74" t="s">
        <v>8</v>
      </c>
      <c r="K6" s="74" t="s">
        <v>60</v>
      </c>
      <c r="L6" s="74" t="s">
        <v>56</v>
      </c>
      <c r="M6" s="240" t="s">
        <v>90</v>
      </c>
      <c r="N6" s="111" t="str">
        <f>DESCONTOS!G28</f>
        <v>TOTAL DESCONTOS</v>
      </c>
      <c r="O6" s="70" t="s">
        <v>10</v>
      </c>
      <c r="P6" s="74" t="s">
        <v>11</v>
      </c>
      <c r="Q6" s="70" t="s">
        <v>12</v>
      </c>
    </row>
    <row r="7" spans="1:18" x14ac:dyDescent="0.25">
      <c r="A7" s="132"/>
      <c r="B7" s="210">
        <v>1</v>
      </c>
      <c r="C7" s="213" t="s">
        <v>66</v>
      </c>
      <c r="D7" s="153">
        <v>45026</v>
      </c>
      <c r="E7" s="154">
        <v>44993</v>
      </c>
      <c r="F7" s="155">
        <v>1728.05</v>
      </c>
      <c r="G7" s="93">
        <v>391.73</v>
      </c>
      <c r="H7" s="13">
        <v>0</v>
      </c>
      <c r="I7" s="13"/>
      <c r="J7" s="150">
        <f t="shared" ref="J7:J16" si="0">SUM(F7:I7)</f>
        <v>2119.7799999999997</v>
      </c>
      <c r="K7" s="150"/>
      <c r="L7" s="150"/>
      <c r="M7" s="150"/>
      <c r="N7" s="151">
        <f>DESCONTOS!G29</f>
        <v>30</v>
      </c>
      <c r="O7" s="150">
        <f t="shared" ref="O7:O16" si="1">SUM(K7:N7)</f>
        <v>30</v>
      </c>
      <c r="P7" s="13"/>
      <c r="Q7" s="150">
        <f t="shared" ref="Q7:Q16" si="2">J7-O7+P7</f>
        <v>2089.7799999999997</v>
      </c>
    </row>
    <row r="8" spans="1:18" x14ac:dyDescent="0.25">
      <c r="A8" s="132"/>
      <c r="B8" s="210">
        <v>2</v>
      </c>
      <c r="C8" s="239" t="s">
        <v>65</v>
      </c>
      <c r="D8" s="153">
        <v>45041</v>
      </c>
      <c r="E8" s="154">
        <v>44959</v>
      </c>
      <c r="F8" s="155">
        <v>3067.4969000000001</v>
      </c>
      <c r="G8" s="93">
        <v>0</v>
      </c>
      <c r="H8" s="13"/>
      <c r="I8" s="13"/>
      <c r="J8" s="150">
        <f t="shared" si="0"/>
        <v>3067.4969000000001</v>
      </c>
      <c r="K8" s="150">
        <v>256.68</v>
      </c>
      <c r="L8" s="150"/>
      <c r="M8" s="150">
        <v>92.03</v>
      </c>
      <c r="N8" s="151">
        <f>DESCONTOS!G30</f>
        <v>0</v>
      </c>
      <c r="O8" s="150">
        <f t="shared" si="1"/>
        <v>348.71000000000004</v>
      </c>
      <c r="P8" s="13"/>
      <c r="Q8" s="150">
        <f t="shared" si="2"/>
        <v>2718.7869000000001</v>
      </c>
    </row>
    <row r="9" spans="1:18" x14ac:dyDescent="0.25">
      <c r="A9" s="132"/>
      <c r="B9" s="210">
        <v>3</v>
      </c>
      <c r="C9" s="241" t="s">
        <v>75</v>
      </c>
      <c r="D9" s="79"/>
      <c r="E9" s="107">
        <v>45919</v>
      </c>
      <c r="F9" s="65">
        <v>1737</v>
      </c>
      <c r="G9" s="132"/>
      <c r="H9" s="13"/>
      <c r="I9" s="14"/>
      <c r="J9" s="15">
        <f t="shared" si="0"/>
        <v>1737</v>
      </c>
      <c r="K9" s="14">
        <v>132.01</v>
      </c>
      <c r="L9" s="14"/>
      <c r="M9" s="14">
        <v>52.11</v>
      </c>
      <c r="N9" s="151">
        <f>DESCONTOS!G31</f>
        <v>0</v>
      </c>
      <c r="O9" s="112">
        <f t="shared" si="1"/>
        <v>184.12</v>
      </c>
      <c r="P9" s="14"/>
      <c r="Q9" s="112">
        <f t="shared" si="2"/>
        <v>1552.88</v>
      </c>
    </row>
    <row r="10" spans="1:18" x14ac:dyDescent="0.25">
      <c r="A10" s="132"/>
      <c r="B10" s="210">
        <v>4</v>
      </c>
      <c r="C10" s="247" t="s">
        <v>21</v>
      </c>
      <c r="D10" s="79">
        <v>41103</v>
      </c>
      <c r="E10" s="107">
        <v>34820</v>
      </c>
      <c r="F10" s="64">
        <v>1737</v>
      </c>
      <c r="G10" s="93">
        <v>135.26</v>
      </c>
      <c r="H10" s="13">
        <v>0</v>
      </c>
      <c r="I10" s="13">
        <v>317.58</v>
      </c>
      <c r="J10" s="150">
        <f t="shared" si="0"/>
        <v>2189.84</v>
      </c>
      <c r="K10" s="229">
        <v>172.13</v>
      </c>
      <c r="L10" s="150"/>
      <c r="M10" s="150">
        <v>52.11</v>
      </c>
      <c r="N10" s="151">
        <f>DESCONTOS!G32</f>
        <v>0</v>
      </c>
      <c r="O10" s="150">
        <f t="shared" si="1"/>
        <v>224.24</v>
      </c>
      <c r="P10" s="13"/>
      <c r="Q10" s="150">
        <f t="shared" si="2"/>
        <v>1965.6000000000001</v>
      </c>
    </row>
    <row r="11" spans="1:18" x14ac:dyDescent="0.25">
      <c r="A11" s="132"/>
      <c r="B11" s="210">
        <v>5</v>
      </c>
      <c r="C11" s="248" t="s">
        <v>25</v>
      </c>
      <c r="D11" s="78">
        <v>42159</v>
      </c>
      <c r="E11" s="116">
        <v>42009</v>
      </c>
      <c r="F11" s="65">
        <v>1737</v>
      </c>
      <c r="G11" s="93">
        <v>76.88</v>
      </c>
      <c r="H11" s="77">
        <v>691.56600000000003</v>
      </c>
      <c r="I11" s="203">
        <v>422</v>
      </c>
      <c r="J11" s="15">
        <f t="shared" si="0"/>
        <v>2927.4459999999999</v>
      </c>
      <c r="K11" s="6">
        <v>138.56</v>
      </c>
      <c r="L11" s="15"/>
      <c r="M11" s="42">
        <v>52.11</v>
      </c>
      <c r="N11" s="151">
        <f>DESCONTOS!G33</f>
        <v>0</v>
      </c>
      <c r="O11" s="112">
        <f t="shared" si="1"/>
        <v>190.67000000000002</v>
      </c>
      <c r="P11" s="16"/>
      <c r="Q11" s="112">
        <f t="shared" si="2"/>
        <v>2736.7759999999998</v>
      </c>
      <c r="R11" s="132"/>
    </row>
    <row r="12" spans="1:18" x14ac:dyDescent="0.25">
      <c r="A12" s="132"/>
      <c r="B12" s="210">
        <v>6</v>
      </c>
      <c r="C12" s="243" t="s">
        <v>53</v>
      </c>
      <c r="D12" s="92">
        <v>41262</v>
      </c>
      <c r="E12" s="68">
        <v>40299</v>
      </c>
      <c r="F12" s="65">
        <v>4648.5726500000001</v>
      </c>
      <c r="G12" s="93">
        <v>0</v>
      </c>
      <c r="H12" s="13">
        <v>0</v>
      </c>
      <c r="I12" s="16">
        <v>0</v>
      </c>
      <c r="J12" s="15">
        <f t="shared" si="0"/>
        <v>4648.5726500000001</v>
      </c>
      <c r="K12" s="15">
        <v>452.3</v>
      </c>
      <c r="L12" s="15"/>
      <c r="M12" s="42">
        <v>139.46</v>
      </c>
      <c r="N12" s="151">
        <f>DESCONTOS!G34</f>
        <v>30</v>
      </c>
      <c r="O12" s="112">
        <f t="shared" si="1"/>
        <v>621.76</v>
      </c>
      <c r="P12" s="16"/>
      <c r="Q12" s="112">
        <f t="shared" si="2"/>
        <v>4026.8126499999998</v>
      </c>
      <c r="R12" s="132"/>
    </row>
    <row r="13" spans="1:18" x14ac:dyDescent="0.25">
      <c r="A13" s="132"/>
      <c r="B13" s="210">
        <v>7</v>
      </c>
      <c r="C13" s="249" t="s">
        <v>61</v>
      </c>
      <c r="D13" s="148">
        <v>30384</v>
      </c>
      <c r="E13" s="141">
        <v>44854</v>
      </c>
      <c r="F13" s="149">
        <v>1737</v>
      </c>
      <c r="G13" s="93">
        <v>271.45999999999998</v>
      </c>
      <c r="H13" s="231">
        <v>58.74</v>
      </c>
      <c r="I13" s="60"/>
      <c r="J13" s="150">
        <f t="shared" si="0"/>
        <v>2067.1999999999998</v>
      </c>
      <c r="K13" s="60">
        <v>161.72</v>
      </c>
      <c r="L13" s="60"/>
      <c r="M13" s="60">
        <v>52.11</v>
      </c>
      <c r="N13" s="151">
        <f>DESCONTOS!G35</f>
        <v>365.08</v>
      </c>
      <c r="O13" s="112">
        <f t="shared" si="1"/>
        <v>578.91</v>
      </c>
      <c r="P13" s="60"/>
      <c r="Q13" s="112">
        <f t="shared" si="2"/>
        <v>1488.29</v>
      </c>
      <c r="R13" s="132"/>
    </row>
    <row r="14" spans="1:18" x14ac:dyDescent="0.25">
      <c r="A14" s="132"/>
      <c r="B14" s="210">
        <v>8</v>
      </c>
      <c r="C14" s="129" t="s">
        <v>14</v>
      </c>
      <c r="D14" s="79">
        <v>41100</v>
      </c>
      <c r="E14" s="107">
        <v>39882</v>
      </c>
      <c r="F14" s="65">
        <v>2180.0309000000002</v>
      </c>
      <c r="G14" s="93">
        <v>1804.12</v>
      </c>
      <c r="H14" s="13">
        <v>1677.66</v>
      </c>
      <c r="I14" s="14">
        <v>0</v>
      </c>
      <c r="J14" s="15">
        <f t="shared" si="0"/>
        <v>5661.8109000000004</v>
      </c>
      <c r="K14" s="14">
        <v>481.87</v>
      </c>
      <c r="L14" s="14"/>
      <c r="M14" s="14">
        <v>161.83000000000001</v>
      </c>
      <c r="N14" s="151">
        <f>DESCONTOS!G36</f>
        <v>43.5</v>
      </c>
      <c r="O14" s="112">
        <f t="shared" si="1"/>
        <v>687.2</v>
      </c>
      <c r="P14" s="14"/>
      <c r="Q14" s="112">
        <f t="shared" si="2"/>
        <v>4974.6109000000006</v>
      </c>
      <c r="R14" s="132"/>
    </row>
    <row r="15" spans="1:18" x14ac:dyDescent="0.25">
      <c r="A15" s="132"/>
      <c r="B15" s="210">
        <v>9</v>
      </c>
      <c r="C15" s="246" t="s">
        <v>54</v>
      </c>
      <c r="D15" s="227">
        <v>40969</v>
      </c>
      <c r="E15" s="228">
        <v>41672</v>
      </c>
      <c r="F15" s="173">
        <v>3677.68</v>
      </c>
      <c r="G15" s="173">
        <v>306.55</v>
      </c>
      <c r="H15" s="60">
        <v>0</v>
      </c>
      <c r="I15" s="14">
        <v>0</v>
      </c>
      <c r="J15" s="15">
        <f t="shared" si="0"/>
        <v>3984.23</v>
      </c>
      <c r="K15" s="14">
        <v>366.69</v>
      </c>
      <c r="L15" s="14"/>
      <c r="M15" s="14">
        <v>122.47</v>
      </c>
      <c r="N15" s="151">
        <f>DESCONTOS!G37</f>
        <v>1264.8600000000001</v>
      </c>
      <c r="O15" s="112">
        <f t="shared" si="1"/>
        <v>1754.02</v>
      </c>
      <c r="P15" s="14"/>
      <c r="Q15" s="112">
        <f t="shared" si="2"/>
        <v>2230.21</v>
      </c>
      <c r="R15" s="132"/>
    </row>
    <row r="16" spans="1:18" x14ac:dyDescent="0.25">
      <c r="A16" s="132"/>
      <c r="B16" s="210">
        <v>10</v>
      </c>
      <c r="C16" s="167"/>
      <c r="D16" s="168"/>
      <c r="E16" s="169"/>
      <c r="F16" s="172"/>
      <c r="G16" s="174"/>
      <c r="H16" s="60"/>
      <c r="I16" s="60"/>
      <c r="J16" s="150">
        <f t="shared" si="0"/>
        <v>0</v>
      </c>
      <c r="K16" s="60"/>
      <c r="L16" s="60"/>
      <c r="M16" s="60"/>
      <c r="N16" s="151">
        <f>DESCONTOS!G38</f>
        <v>0</v>
      </c>
      <c r="O16" s="150">
        <f t="shared" si="1"/>
        <v>0</v>
      </c>
      <c r="P16" s="60"/>
      <c r="Q16" s="150">
        <f t="shared" si="2"/>
        <v>0</v>
      </c>
    </row>
    <row r="17" spans="1:19" x14ac:dyDescent="0.25">
      <c r="A17" s="132"/>
      <c r="B17" s="113"/>
      <c r="C17" s="114" t="s">
        <v>51</v>
      </c>
      <c r="D17" s="19"/>
      <c r="E17" s="117"/>
      <c r="F17" s="66">
        <f>SUM(F7:F11)</f>
        <v>10006.546900000001</v>
      </c>
      <c r="G17" s="46">
        <f t="shared" ref="G17:M17" si="3">SUM(G7:G16)</f>
        <v>2986</v>
      </c>
      <c r="H17" s="46">
        <f t="shared" si="3"/>
        <v>2427.9660000000003</v>
      </c>
      <c r="I17" s="46">
        <f t="shared" si="3"/>
        <v>739.57999999999993</v>
      </c>
      <c r="J17" s="46">
        <f t="shared" si="3"/>
        <v>28403.37645</v>
      </c>
      <c r="K17" s="46">
        <f t="shared" si="3"/>
        <v>2161.96</v>
      </c>
      <c r="L17" s="46"/>
      <c r="M17" s="46">
        <f t="shared" si="3"/>
        <v>724.23000000000013</v>
      </c>
      <c r="N17" s="46">
        <f>SUM(N7:N16)</f>
        <v>1733.44</v>
      </c>
      <c r="O17" s="46">
        <f>SUM(O7:O15)</f>
        <v>4619.6299999999992</v>
      </c>
      <c r="P17" s="46">
        <f>SUM(P7:P16)</f>
        <v>0</v>
      </c>
      <c r="Q17" s="46">
        <f>SUM(Q7:Q16)</f>
        <v>23783.746449999999</v>
      </c>
      <c r="R17" s="132"/>
    </row>
    <row r="18" spans="1:19" x14ac:dyDescent="0.25">
      <c r="R18" s="132"/>
      <c r="S18" s="132"/>
    </row>
    <row r="19" spans="1:19" x14ac:dyDescent="0.25">
      <c r="R19" s="132"/>
      <c r="S19" s="132"/>
    </row>
    <row r="21" spans="1:19" x14ac:dyDescent="0.25">
      <c r="C21" s="93" t="s">
        <v>63</v>
      </c>
    </row>
    <row r="24" spans="1:19" x14ac:dyDescent="0.25">
      <c r="C24" s="132"/>
      <c r="F24" s="234"/>
      <c r="I24" s="93">
        <v>1869.21</v>
      </c>
    </row>
    <row r="25" spans="1:19" x14ac:dyDescent="0.25">
      <c r="C25" s="132"/>
      <c r="F25" s="234"/>
      <c r="I25" s="93">
        <v>694.26</v>
      </c>
    </row>
    <row r="26" spans="1:19" x14ac:dyDescent="0.25">
      <c r="F26" s="234"/>
    </row>
    <row r="27" spans="1:19" x14ac:dyDescent="0.25">
      <c r="F27" s="234"/>
    </row>
    <row r="28" spans="1:19" x14ac:dyDescent="0.25">
      <c r="F28" s="234">
        <v>15.901999999999999</v>
      </c>
      <c r="G28" s="234">
        <v>5.5E-2</v>
      </c>
      <c r="H28" s="234">
        <f>F28+(F28*G28)</f>
        <v>16.776609999999998</v>
      </c>
    </row>
    <row r="29" spans="1:19" x14ac:dyDescent="0.25">
      <c r="F29" s="234"/>
    </row>
    <row r="30" spans="1:19" x14ac:dyDescent="0.25">
      <c r="F30" s="234"/>
    </row>
    <row r="31" spans="1:19" x14ac:dyDescent="0.25">
      <c r="F31" s="234"/>
    </row>
  </sheetData>
  <sortState ref="C7:Q16">
    <sortCondition ref="C7"/>
  </sortState>
  <mergeCells count="4">
    <mergeCell ref="D1:I1"/>
    <mergeCell ref="N2:Q2"/>
    <mergeCell ref="F5:G5"/>
    <mergeCell ref="K5:O5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48" orientation="landscape" verticalDpi="300" r:id="rId1"/>
  <headerFooter alignWithMargins="0">
    <oddHeader>&amp;A</oddHeader>
    <oddFooter>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V26"/>
  <sheetViews>
    <sheetView zoomScale="62" zoomScaleNormal="62" workbookViewId="0">
      <selection activeCell="T10" sqref="T10"/>
    </sheetView>
  </sheetViews>
  <sheetFormatPr defaultColWidth="11.19921875" defaultRowHeight="18" x14ac:dyDescent="0.25"/>
  <cols>
    <col min="1" max="1" width="4.59765625" style="93" customWidth="1"/>
    <col min="2" max="2" width="3" style="93" customWidth="1"/>
    <col min="3" max="3" width="32.19921875" style="93" customWidth="1"/>
    <col min="4" max="4" width="7.8984375" style="93" customWidth="1"/>
    <col min="5" max="5" width="11.09765625" style="119" customWidth="1"/>
    <col min="6" max="6" width="9.796875" style="93" customWidth="1"/>
    <col min="7" max="7" width="11.09765625" style="93" customWidth="1"/>
    <col min="8" max="8" width="9.5" style="93" customWidth="1"/>
    <col min="9" max="9" width="12.3984375" style="93" customWidth="1"/>
    <col min="10" max="10" width="8.8984375" style="93" customWidth="1"/>
    <col min="11" max="11" width="9.09765625" style="93" customWidth="1"/>
    <col min="12" max="12" width="10.19921875" style="93" customWidth="1"/>
    <col min="13" max="14" width="12.09765625" style="93" customWidth="1"/>
    <col min="15" max="15" width="7.796875" style="93" customWidth="1"/>
    <col min="16" max="16" width="8.796875" style="93" customWidth="1"/>
    <col min="17" max="17" width="8.8984375" style="93" customWidth="1"/>
    <col min="18" max="18" width="11.3984375" style="93" customWidth="1"/>
    <col min="19" max="19" width="10" style="93" customWidth="1"/>
    <col min="20" max="20" width="11.5" style="119" bestFit="1" customWidth="1"/>
    <col min="21" max="21" width="11.8984375" style="93" bestFit="1" customWidth="1"/>
    <col min="22" max="16384" width="11.19921875" style="93"/>
  </cols>
  <sheetData>
    <row r="3" spans="1:22" x14ac:dyDescent="0.25">
      <c r="P3" s="262" t="s">
        <v>89</v>
      </c>
      <c r="Q3" s="262"/>
      <c r="R3" s="262"/>
      <c r="S3" s="262"/>
    </row>
    <row r="5" spans="1:22" x14ac:dyDescent="0.25">
      <c r="B5" s="262" t="s">
        <v>0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</row>
    <row r="6" spans="1:22" x14ac:dyDescent="0.25"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</row>
    <row r="7" spans="1:22" x14ac:dyDescent="0.25">
      <c r="B7" s="6"/>
      <c r="C7" s="6"/>
      <c r="D7" s="120"/>
      <c r="E7" s="70"/>
      <c r="F7" s="104" t="s">
        <v>1</v>
      </c>
      <c r="G7" s="104"/>
      <c r="H7" s="104"/>
      <c r="I7" s="120"/>
      <c r="J7" s="120"/>
      <c r="K7" s="17"/>
      <c r="L7" s="17"/>
      <c r="M7" s="264" t="s">
        <v>2</v>
      </c>
      <c r="N7" s="264"/>
      <c r="O7" s="264"/>
      <c r="P7" s="264"/>
      <c r="Q7" s="264"/>
      <c r="R7" s="74" t="s">
        <v>3</v>
      </c>
      <c r="S7" s="74" t="s">
        <v>4</v>
      </c>
      <c r="T7" s="76"/>
    </row>
    <row r="8" spans="1:22" ht="34.5" customHeight="1" x14ac:dyDescent="0.25">
      <c r="B8" s="6" t="s">
        <v>5</v>
      </c>
      <c r="C8" s="71" t="s">
        <v>6</v>
      </c>
      <c r="D8" s="70" t="s">
        <v>18</v>
      </c>
      <c r="E8" s="70" t="s">
        <v>17</v>
      </c>
      <c r="F8" s="70" t="s">
        <v>3</v>
      </c>
      <c r="G8" s="72" t="s">
        <v>36</v>
      </c>
      <c r="H8" s="70" t="s">
        <v>30</v>
      </c>
      <c r="I8" s="70" t="s">
        <v>34</v>
      </c>
      <c r="J8" s="72" t="s">
        <v>19</v>
      </c>
      <c r="K8" s="98" t="s">
        <v>57</v>
      </c>
      <c r="L8" s="74" t="s">
        <v>8</v>
      </c>
      <c r="M8" s="74" t="s">
        <v>9</v>
      </c>
      <c r="N8" s="74" t="s">
        <v>56</v>
      </c>
      <c r="O8" s="73" t="s">
        <v>72</v>
      </c>
      <c r="P8" s="75" t="s">
        <v>28</v>
      </c>
      <c r="Q8" s="74" t="s">
        <v>10</v>
      </c>
      <c r="R8" s="74" t="s">
        <v>11</v>
      </c>
      <c r="S8" s="74" t="s">
        <v>12</v>
      </c>
      <c r="T8" s="76" t="s">
        <v>24</v>
      </c>
    </row>
    <row r="9" spans="1:22" ht="18.75" customHeight="1" x14ac:dyDescent="0.25">
      <c r="A9" s="138"/>
      <c r="B9" s="209">
        <v>1</v>
      </c>
      <c r="C9" s="128" t="s">
        <v>45</v>
      </c>
      <c r="D9" s="12">
        <v>44503</v>
      </c>
      <c r="E9" s="160">
        <v>43538</v>
      </c>
      <c r="F9" s="81">
        <v>3344.7509</v>
      </c>
      <c r="G9" s="81">
        <f t="shared" ref="G9:G17" si="0">F9-H9</f>
        <v>2787.2924166666667</v>
      </c>
      <c r="H9" s="81">
        <f t="shared" ref="H9:H17" si="1">F9/6</f>
        <v>557.45848333333333</v>
      </c>
      <c r="I9" s="88">
        <v>0</v>
      </c>
      <c r="J9" s="85"/>
      <c r="K9" s="83"/>
      <c r="L9" s="84">
        <f t="shared" ref="L9:L18" si="2">SUM(G9:K9)</f>
        <v>3344.7509</v>
      </c>
      <c r="M9" s="81"/>
      <c r="N9" s="81"/>
      <c r="O9" s="81"/>
      <c r="P9" s="85">
        <f>DESCONTOS!G43</f>
        <v>1587.2</v>
      </c>
      <c r="Q9" s="86">
        <f t="shared" ref="Q9:Q17" si="3">SUM(M9:P9)</f>
        <v>1587.2</v>
      </c>
      <c r="R9" s="81"/>
      <c r="S9" s="87">
        <f t="shared" ref="S9:S17" si="4">L9-Q9+R9</f>
        <v>1757.5509</v>
      </c>
      <c r="T9" s="71"/>
      <c r="U9" s="202"/>
    </row>
    <row r="10" spans="1:22" ht="18.75" customHeight="1" x14ac:dyDescent="0.25">
      <c r="A10" s="138"/>
      <c r="B10" s="209">
        <v>2</v>
      </c>
      <c r="C10" s="212" t="s">
        <v>22</v>
      </c>
      <c r="D10" s="136">
        <v>41955</v>
      </c>
      <c r="E10" s="137">
        <v>41640</v>
      </c>
      <c r="F10" s="166">
        <v>2927.625</v>
      </c>
      <c r="G10" s="85">
        <f t="shared" si="0"/>
        <v>2439.6875</v>
      </c>
      <c r="H10" s="85">
        <f t="shared" si="1"/>
        <v>487.9375</v>
      </c>
      <c r="I10" s="6"/>
      <c r="J10" s="82"/>
      <c r="K10" s="82"/>
      <c r="L10" s="142">
        <f t="shared" si="2"/>
        <v>2927.625</v>
      </c>
      <c r="M10" s="85"/>
      <c r="N10" s="85"/>
      <c r="O10" s="85"/>
      <c r="P10" s="85">
        <f>DESCONTOS!G44</f>
        <v>0</v>
      </c>
      <c r="Q10" s="86">
        <f t="shared" si="3"/>
        <v>0</v>
      </c>
      <c r="R10" s="85"/>
      <c r="S10" s="85">
        <f t="shared" si="4"/>
        <v>2927.625</v>
      </c>
      <c r="T10" s="146">
        <f>SUM(S10+Professores!T12)</f>
        <v>5565.125</v>
      </c>
      <c r="U10" s="200"/>
      <c r="V10" s="159"/>
    </row>
    <row r="11" spans="1:22" ht="18" customHeight="1" x14ac:dyDescent="0.25">
      <c r="A11" s="138"/>
      <c r="B11" s="209">
        <v>3</v>
      </c>
      <c r="C11" s="237" t="s">
        <v>81</v>
      </c>
      <c r="D11" s="94"/>
      <c r="E11" s="62"/>
      <c r="F11" s="125">
        <v>1655.64</v>
      </c>
      <c r="G11" s="81">
        <f t="shared" si="0"/>
        <v>1379.7</v>
      </c>
      <c r="H11" s="81">
        <f t="shared" si="1"/>
        <v>275.94</v>
      </c>
      <c r="I11" s="173"/>
      <c r="J11" s="82"/>
      <c r="K11" s="83"/>
      <c r="L11" s="84">
        <f t="shared" si="2"/>
        <v>1655.64</v>
      </c>
      <c r="M11" s="40">
        <v>124.68</v>
      </c>
      <c r="N11" s="40"/>
      <c r="O11" s="145">
        <v>55.13</v>
      </c>
      <c r="P11" s="85">
        <f>DESCONTOS!G45</f>
        <v>0</v>
      </c>
      <c r="Q11" s="86">
        <f t="shared" si="3"/>
        <v>179.81</v>
      </c>
      <c r="R11" s="85"/>
      <c r="S11" s="87">
        <f t="shared" si="4"/>
        <v>1475.8300000000002</v>
      </c>
      <c r="T11" s="118"/>
      <c r="U11" s="121"/>
      <c r="V11" s="100"/>
    </row>
    <row r="12" spans="1:22" ht="20.25" customHeight="1" x14ac:dyDescent="0.25">
      <c r="A12" s="138" t="s">
        <v>64</v>
      </c>
      <c r="B12" s="209">
        <v>4</v>
      </c>
      <c r="C12" s="128" t="s">
        <v>55</v>
      </c>
      <c r="D12" s="12">
        <v>44753</v>
      </c>
      <c r="E12" s="80">
        <v>44484</v>
      </c>
      <c r="F12" s="81">
        <v>1692.73695</v>
      </c>
      <c r="G12" s="81">
        <f t="shared" si="0"/>
        <v>1410.6141250000001</v>
      </c>
      <c r="H12" s="81">
        <f t="shared" si="1"/>
        <v>282.12282499999998</v>
      </c>
      <c r="I12" s="6"/>
      <c r="J12" s="83">
        <v>0</v>
      </c>
      <c r="K12" s="83"/>
      <c r="L12" s="84">
        <f t="shared" si="2"/>
        <v>1692.73695</v>
      </c>
      <c r="M12" s="81"/>
      <c r="N12" s="81"/>
      <c r="O12" s="81"/>
      <c r="P12" s="85">
        <f>DESCONTOS!G46</f>
        <v>0</v>
      </c>
      <c r="Q12" s="86">
        <f t="shared" si="3"/>
        <v>0</v>
      </c>
      <c r="R12" s="81"/>
      <c r="S12" s="87">
        <f t="shared" si="4"/>
        <v>1692.73695</v>
      </c>
      <c r="T12" s="118"/>
      <c r="U12" s="121"/>
      <c r="V12" s="100"/>
    </row>
    <row r="13" spans="1:22" ht="19.5" customHeight="1" x14ac:dyDescent="0.25">
      <c r="A13" s="138"/>
      <c r="B13" s="209">
        <v>5</v>
      </c>
      <c r="C13" s="128" t="s">
        <v>44</v>
      </c>
      <c r="D13" s="12">
        <v>31257</v>
      </c>
      <c r="E13" s="90">
        <v>43313</v>
      </c>
      <c r="F13" s="85">
        <v>4753.1000000000004</v>
      </c>
      <c r="G13" s="81">
        <f t="shared" si="0"/>
        <v>3960.916666666667</v>
      </c>
      <c r="H13" s="81">
        <f t="shared" si="1"/>
        <v>792.18333333333339</v>
      </c>
      <c r="I13" s="5">
        <v>559.29999999999995</v>
      </c>
      <c r="J13" s="82">
        <v>0</v>
      </c>
      <c r="K13" s="82"/>
      <c r="L13" s="142">
        <f t="shared" si="2"/>
        <v>5312.4000000000005</v>
      </c>
      <c r="M13" s="59"/>
      <c r="N13" s="59"/>
      <c r="O13" s="145"/>
      <c r="P13" s="85">
        <f>DESCONTOS!G47</f>
        <v>980.9</v>
      </c>
      <c r="Q13" s="86">
        <f t="shared" si="3"/>
        <v>980.9</v>
      </c>
      <c r="R13" s="85"/>
      <c r="S13" s="85">
        <f t="shared" si="4"/>
        <v>4331.5000000000009</v>
      </c>
      <c r="T13" s="146"/>
      <c r="U13" s="121" t="s">
        <v>69</v>
      </c>
      <c r="V13" s="100"/>
    </row>
    <row r="14" spans="1:22" ht="19.5" customHeight="1" x14ac:dyDescent="0.25">
      <c r="A14" s="138"/>
      <c r="B14" s="209">
        <v>6</v>
      </c>
      <c r="C14" s="242" t="s">
        <v>71</v>
      </c>
      <c r="D14" s="94"/>
      <c r="E14" s="68">
        <v>45545</v>
      </c>
      <c r="F14" s="162">
        <v>1850.95</v>
      </c>
      <c r="G14" s="81">
        <f t="shared" si="0"/>
        <v>1542.4583333333335</v>
      </c>
      <c r="H14" s="81">
        <f t="shared" si="1"/>
        <v>308.49166666666667</v>
      </c>
      <c r="I14" s="88"/>
      <c r="J14" s="5"/>
      <c r="K14" s="5"/>
      <c r="L14" s="84">
        <f t="shared" si="2"/>
        <v>1850.9500000000003</v>
      </c>
      <c r="M14" s="59">
        <v>142.26</v>
      </c>
      <c r="N14" s="59"/>
      <c r="O14" s="88">
        <v>61.63</v>
      </c>
      <c r="P14" s="85">
        <f>DESCONTOS!G48</f>
        <v>0</v>
      </c>
      <c r="Q14" s="86">
        <f t="shared" si="3"/>
        <v>203.89</v>
      </c>
      <c r="R14" s="85"/>
      <c r="S14" s="87">
        <f t="shared" si="4"/>
        <v>1647.0600000000004</v>
      </c>
      <c r="T14" s="118"/>
      <c r="U14" s="100"/>
      <c r="V14" s="100"/>
    </row>
    <row r="15" spans="1:22" ht="19.5" customHeight="1" x14ac:dyDescent="0.25">
      <c r="A15" s="138"/>
      <c r="B15" s="209">
        <v>7</v>
      </c>
      <c r="C15" s="245" t="s">
        <v>80</v>
      </c>
      <c r="D15" s="12"/>
      <c r="E15" s="90">
        <v>46041</v>
      </c>
      <c r="F15" s="218">
        <v>1737</v>
      </c>
      <c r="G15" s="81">
        <f t="shared" si="0"/>
        <v>1447.5</v>
      </c>
      <c r="H15" s="81">
        <f t="shared" si="1"/>
        <v>289.5</v>
      </c>
      <c r="I15" s="82"/>
      <c r="J15" s="82"/>
      <c r="K15" s="82"/>
      <c r="L15" s="84">
        <f t="shared" si="2"/>
        <v>1737</v>
      </c>
      <c r="M15" s="59">
        <v>121.58</v>
      </c>
      <c r="N15" s="59"/>
      <c r="O15" s="145">
        <v>52.11</v>
      </c>
      <c r="P15" s="85">
        <f>DESCONTOS!G49</f>
        <v>117.01</v>
      </c>
      <c r="Q15" s="86">
        <f t="shared" si="3"/>
        <v>290.7</v>
      </c>
      <c r="R15" s="85"/>
      <c r="S15" s="87">
        <f t="shared" si="4"/>
        <v>1446.3</v>
      </c>
      <c r="T15" s="146"/>
      <c r="U15" s="121"/>
    </row>
    <row r="16" spans="1:22" ht="15.75" customHeight="1" x14ac:dyDescent="0.25">
      <c r="A16" s="138"/>
      <c r="B16" s="171">
        <v>8</v>
      </c>
      <c r="C16" s="189" t="s">
        <v>79</v>
      </c>
      <c r="D16" s="140"/>
      <c r="E16" s="141">
        <v>46034</v>
      </c>
      <c r="F16" s="217">
        <v>1737</v>
      </c>
      <c r="G16" s="81">
        <f t="shared" si="0"/>
        <v>1447.5</v>
      </c>
      <c r="H16" s="81">
        <f t="shared" si="1"/>
        <v>289.5</v>
      </c>
      <c r="I16" s="230">
        <v>390</v>
      </c>
      <c r="J16" s="5"/>
      <c r="K16" s="82"/>
      <c r="L16" s="84">
        <f t="shared" si="2"/>
        <v>2127</v>
      </c>
      <c r="M16" s="85">
        <v>155.36000000000001</v>
      </c>
      <c r="N16" s="85"/>
      <c r="O16" s="85">
        <v>52.11</v>
      </c>
      <c r="P16" s="85">
        <f>DESCONTOS!G50</f>
        <v>0</v>
      </c>
      <c r="Q16" s="86">
        <f t="shared" si="3"/>
        <v>207.47000000000003</v>
      </c>
      <c r="R16" s="85"/>
      <c r="S16" s="87">
        <f t="shared" si="4"/>
        <v>1919.53</v>
      </c>
      <c r="T16" s="143"/>
      <c r="U16" s="121"/>
      <c r="V16" s="100"/>
    </row>
    <row r="17" spans="1:22" ht="15.75" customHeight="1" x14ac:dyDescent="0.25">
      <c r="A17" s="138"/>
      <c r="B17" s="106">
        <v>9</v>
      </c>
      <c r="C17" s="237" t="s">
        <v>83</v>
      </c>
      <c r="D17" s="94"/>
      <c r="E17" s="62">
        <v>46121</v>
      </c>
      <c r="F17" s="232">
        <v>1417.5</v>
      </c>
      <c r="G17" s="81">
        <f t="shared" si="0"/>
        <v>1181.25</v>
      </c>
      <c r="H17" s="81">
        <f t="shared" si="1"/>
        <v>236.25</v>
      </c>
      <c r="I17" s="233"/>
      <c r="J17" s="83"/>
      <c r="K17" s="83"/>
      <c r="L17" s="84">
        <f t="shared" si="2"/>
        <v>1417.5</v>
      </c>
      <c r="M17" s="40"/>
      <c r="N17" s="40"/>
      <c r="O17" s="145"/>
      <c r="P17" s="85">
        <f>DESCONTOS!G51</f>
        <v>0</v>
      </c>
      <c r="Q17" s="86">
        <f t="shared" si="3"/>
        <v>0</v>
      </c>
      <c r="R17" s="85"/>
      <c r="S17" s="87">
        <f t="shared" si="4"/>
        <v>1417.5</v>
      </c>
      <c r="T17" s="118"/>
      <c r="U17" s="121"/>
      <c r="V17" s="100"/>
    </row>
    <row r="18" spans="1:22" ht="15.75" customHeight="1" x14ac:dyDescent="0.25">
      <c r="A18" s="138"/>
      <c r="B18" s="106"/>
      <c r="C18" s="127"/>
      <c r="D18" s="94"/>
      <c r="E18" s="62"/>
      <c r="F18" s="125"/>
      <c r="G18" s="81"/>
      <c r="H18" s="81"/>
      <c r="I18" s="88"/>
      <c r="J18" s="83"/>
      <c r="K18" s="83"/>
      <c r="L18" s="84">
        <f t="shared" si="2"/>
        <v>0</v>
      </c>
      <c r="M18" s="40"/>
      <c r="N18" s="40"/>
      <c r="O18" s="145"/>
      <c r="P18" s="85"/>
      <c r="Q18" s="86"/>
      <c r="R18" s="85"/>
      <c r="S18" s="87"/>
      <c r="T18" s="118"/>
      <c r="U18" s="121"/>
      <c r="V18" s="100"/>
    </row>
    <row r="19" spans="1:22" x14ac:dyDescent="0.25">
      <c r="A19" s="138"/>
      <c r="B19" s="106"/>
      <c r="C19" s="69" t="s">
        <v>13</v>
      </c>
      <c r="D19" s="17"/>
      <c r="E19" s="70"/>
      <c r="F19" s="18">
        <f>SUM(F9:F16)</f>
        <v>19698.80285</v>
      </c>
      <c r="G19" s="18">
        <f>SUM(G9:G16)</f>
        <v>16415.669041666668</v>
      </c>
      <c r="H19" s="18">
        <f>SUM(H9:H16)</f>
        <v>3283.1338083333335</v>
      </c>
      <c r="I19" s="18">
        <f>SUM(I9:I16)</f>
        <v>949.3</v>
      </c>
      <c r="J19" s="18">
        <f>SUM(J9:J16)</f>
        <v>0</v>
      </c>
      <c r="K19" s="18">
        <f>SUM(K9:K11)</f>
        <v>0</v>
      </c>
      <c r="L19" s="18">
        <f>SUM(L9:L16)</f>
        <v>20648.102850000003</v>
      </c>
      <c r="M19" s="18">
        <f>SUM(M9:M17)</f>
        <v>543.88</v>
      </c>
      <c r="N19" s="18"/>
      <c r="O19" s="18">
        <f>SUM(O9:O11)</f>
        <v>55.13</v>
      </c>
      <c r="P19" s="18"/>
      <c r="Q19" s="18">
        <f>SUM(Q9:Q16)</f>
        <v>3449.9699999999993</v>
      </c>
      <c r="R19" s="18">
        <f>SUM(R9:R11)</f>
        <v>0</v>
      </c>
      <c r="S19" s="18">
        <f>SUM(S9:S16)</f>
        <v>17198.132850000002</v>
      </c>
      <c r="T19" s="122"/>
      <c r="U19" s="121"/>
      <c r="V19" s="100"/>
    </row>
    <row r="20" spans="1:22" x14ac:dyDescent="0.25">
      <c r="A20" s="132"/>
      <c r="B20" s="123"/>
      <c r="U20" s="100"/>
      <c r="V20" s="100"/>
    </row>
    <row r="22" spans="1:22" x14ac:dyDescent="0.25">
      <c r="C22" s="100"/>
      <c r="D22" s="123"/>
      <c r="E22" s="124"/>
      <c r="I22" s="109"/>
    </row>
    <row r="24" spans="1:22" x14ac:dyDescent="0.25">
      <c r="C24" s="123"/>
      <c r="D24" s="126"/>
      <c r="K24" s="93">
        <v>502.5</v>
      </c>
    </row>
    <row r="25" spans="1:22" x14ac:dyDescent="0.25">
      <c r="K25" s="93">
        <v>4504.6400000000003</v>
      </c>
    </row>
    <row r="26" spans="1:22" x14ac:dyDescent="0.25">
      <c r="G26" s="93">
        <v>4753.1000000000004</v>
      </c>
      <c r="H26" s="234">
        <v>5.5E-2</v>
      </c>
      <c r="I26" s="93">
        <f>G26+(G26*H26)</f>
        <v>5014.5205000000005</v>
      </c>
    </row>
  </sheetData>
  <sortState ref="C9:T18">
    <sortCondition ref="C9"/>
  </sortState>
  <mergeCells count="3">
    <mergeCell ref="M7:Q7"/>
    <mergeCell ref="P3:S3"/>
    <mergeCell ref="B5:T6"/>
  </mergeCells>
  <phoneticPr fontId="0" type="noConversion"/>
  <pageMargins left="0.59055118110236227" right="0.59055118110236227" top="0.59055118110236227" bottom="0.78740157480314965" header="0.51181102362204722" footer="0.51181102362204722"/>
  <pageSetup paperSize="9" scale="43" orientation="landscape" horizontalDpi="300" verticalDpi="300" r:id="rId1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DESCONTOS</vt:lpstr>
      <vt:lpstr>Professores</vt:lpstr>
      <vt:lpstr>Funcionários</vt:lpstr>
      <vt:lpstr>F. FUND. II</vt:lpstr>
      <vt:lpstr>DESCONTOS!Area_de_impressao</vt:lpstr>
      <vt:lpstr>'F. FUND. II'!Area_de_impressao</vt:lpstr>
      <vt:lpstr>Funcionários!Area_de_impressao</vt:lpstr>
      <vt:lpstr>Professores!Area_de_impressao</vt:lpstr>
    </vt:vector>
  </TitlesOfParts>
  <Company>Itautec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Flávio F. Freire</dc:creator>
  <cp:lastModifiedBy>Rodrigo Reis</cp:lastModifiedBy>
  <cp:lastPrinted>2026-06-03T12:41:10Z</cp:lastPrinted>
  <dcterms:created xsi:type="dcterms:W3CDTF">1996-10-03T01:10:02Z</dcterms:created>
  <dcterms:modified xsi:type="dcterms:W3CDTF">2026-06-13T13:35:42Z</dcterms:modified>
</cp:coreProperties>
</file>